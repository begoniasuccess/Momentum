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Han\學習\金融策略\分析程式\data\analysis\momentumNew\mergeTtestResult\"/>
    </mc:Choice>
  </mc:AlternateContent>
  <xr:revisionPtr revIDLastSave="0" documentId="13_ncr:1_{C463C36D-CFEB-4182-8491-035EBF9B57C4}" xr6:coauthVersionLast="47" xr6:coauthVersionMax="47" xr10:uidLastSave="{00000000-0000-0000-0000-000000000000}"/>
  <bookViews>
    <workbookView xWindow="-120" yWindow="-120" windowWidth="24240" windowHeight="13020" activeTab="1" xr2:uid="{79B926A8-815C-4ADE-A3A1-103001E1D343}"/>
  </bookViews>
  <sheets>
    <sheet name="mv150_10years" sheetId="1" r:id="rId1"/>
    <sheet name="mv150_15years" sheetId="2" r:id="rId2"/>
    <sheet name="priceOver10" sheetId="3" r:id="rId3"/>
  </sheets>
  <definedNames>
    <definedName name="_xlnm._FilterDatabase" localSheetId="0" hidden="1">mv150_10years!$A$2:$G$50</definedName>
  </definedNames>
  <calcPr calcId="181029"/>
</workbook>
</file>

<file path=xl/calcChain.xml><?xml version="1.0" encoding="utf-8"?>
<calcChain xmlns="http://schemas.openxmlformats.org/spreadsheetml/2006/main">
  <c r="N25" i="3" l="1"/>
  <c r="N23" i="3"/>
  <c r="N21" i="3"/>
  <c r="M25" i="3"/>
  <c r="M23" i="3"/>
  <c r="M21" i="3"/>
  <c r="L25" i="3"/>
  <c r="L23" i="3"/>
  <c r="L21" i="3"/>
  <c r="K25" i="3"/>
  <c r="K23" i="3"/>
  <c r="K21" i="3"/>
  <c r="N9" i="3"/>
  <c r="N7" i="3"/>
  <c r="N5" i="3"/>
  <c r="M9" i="3"/>
  <c r="M7" i="3"/>
  <c r="M5" i="3"/>
  <c r="L9" i="3"/>
  <c r="L7" i="3"/>
  <c r="L5" i="3"/>
  <c r="K9" i="3"/>
  <c r="K7" i="3"/>
  <c r="K5" i="3"/>
  <c r="N24" i="3"/>
  <c r="N22" i="3"/>
  <c r="N20" i="3"/>
  <c r="M24" i="3"/>
  <c r="M22" i="3"/>
  <c r="M20" i="3"/>
  <c r="L24" i="3"/>
  <c r="L22" i="3"/>
  <c r="L20" i="3"/>
  <c r="K24" i="3"/>
  <c r="K22" i="3"/>
  <c r="K20" i="3"/>
  <c r="N8" i="3"/>
  <c r="N6" i="3"/>
  <c r="N4" i="3"/>
  <c r="M8" i="3"/>
  <c r="M6" i="3"/>
  <c r="M4" i="3"/>
  <c r="L8" i="3"/>
  <c r="L6" i="3"/>
  <c r="L4" i="3"/>
  <c r="K8" i="3"/>
  <c r="K6" i="3"/>
  <c r="K4" i="3"/>
  <c r="N12" i="1"/>
  <c r="N10" i="1"/>
  <c r="N8" i="1"/>
  <c r="M12" i="1"/>
  <c r="M10" i="1"/>
  <c r="M8" i="1"/>
  <c r="L12" i="1"/>
  <c r="L10" i="1"/>
  <c r="L8" i="1"/>
  <c r="N11" i="1"/>
  <c r="N9" i="1"/>
  <c r="N7" i="1"/>
  <c r="M11" i="1"/>
  <c r="M9" i="1"/>
  <c r="M7" i="1"/>
  <c r="L11" i="1"/>
  <c r="L9" i="1"/>
  <c r="L7" i="1"/>
  <c r="K12" i="1"/>
  <c r="K11" i="1"/>
  <c r="K10" i="1"/>
  <c r="K9" i="1"/>
  <c r="K8" i="1"/>
  <c r="K7" i="1"/>
</calcChain>
</file>

<file path=xl/sharedStrings.xml><?xml version="1.0" encoding="utf-8"?>
<sst xmlns="http://schemas.openxmlformats.org/spreadsheetml/2006/main" count="230" uniqueCount="50">
  <si>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</si>
  <si>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</si>
  <si>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</si>
  <si>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</si>
  <si>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</si>
  <si>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</si>
  <si>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</si>
  <si>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</si>
  <si>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</si>
  <si>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</si>
  <si>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>(0.45)</t>
  </si>
  <si>
    <t>(3.14)</t>
  </si>
  <si>
    <t>(2.69)</t>
  </si>
  <si>
    <t>(-0.54)</t>
  </si>
  <si>
    <t>(1.77)</t>
  </si>
  <si>
    <t>(2.18)</t>
  </si>
  <si>
    <t>(0.05)</t>
  </si>
  <si>
    <t>(3.23)</t>
  </si>
  <si>
    <t>(2.89)</t>
  </si>
  <si>
    <t>(1.35)</t>
  </si>
  <si>
    <t>(4.18)</t>
  </si>
  <si>
    <t>(2.98)</t>
  </si>
  <si>
    <t>(1.20)</t>
  </si>
  <si>
    <t>(3.61)</t>
  </si>
  <si>
    <t>(2.71)</t>
  </si>
  <si>
    <t>(1.53)</t>
  </si>
  <si>
    <t>(2.67)</t>
  </si>
  <si>
    <t>(1.26)</t>
  </si>
  <si>
    <t>(0.04)</t>
  </si>
  <si>
    <t>(0.09)</t>
  </si>
  <si>
    <t>(0.79)</t>
  </si>
  <si>
    <t>(3.18)</t>
  </si>
  <si>
    <t>(2.48)</t>
  </si>
  <si>
    <t>(1.98)</t>
  </si>
  <si>
    <t>(3.27)</t>
  </si>
  <si>
    <t>(1.37)</t>
  </si>
  <si>
    <t>(-0.05)</t>
  </si>
  <si>
    <t>(0.97)</t>
  </si>
  <si>
    <t>(2.13)</t>
  </si>
  <si>
    <t>(1.59)</t>
  </si>
  <si>
    <t>(1.91)</t>
  </si>
  <si>
    <t>(2.25)</t>
  </si>
  <si>
    <t>(1.57)</t>
  </si>
  <si>
    <t>(0.93)</t>
  </si>
  <si>
    <t>(0.13)</t>
  </si>
  <si>
    <t xml:space="preserve">K = </t>
    <phoneticPr fontId="19" type="noConversion"/>
  </si>
  <si>
    <t>J =</t>
    <phoneticPr fontId="19" type="noConversion"/>
  </si>
  <si>
    <t>Panel A</t>
    <phoneticPr fontId="19" type="noConversion"/>
  </si>
  <si>
    <t>2010~2019</t>
    <phoneticPr fontId="19" type="noConversion"/>
  </si>
  <si>
    <t>2010~2024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</si>
</sst>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4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 tint="-0.34998626667073579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1"/>
      <color rgb="FFCCCCCC"/>
      <name val="Consolas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0" tint="-0.499984740745262"/>
      </bottom>
      <diagonal/>
    </border>
    <border>
      <left/>
      <right style="thin">
        <color theme="2" tint="-0.499984740745262"/>
      </right>
      <top/>
      <bottom style="medium">
        <color theme="0" tint="-0.499984740745262"/>
      </bottom>
      <diagonal/>
    </border>
    <border>
      <left/>
      <right style="thin">
        <color theme="2" tint="-0.499984740745262"/>
      </right>
      <top style="medium">
        <color theme="0" tint="-0.499984740745262"/>
      </top>
      <bottom/>
      <diagonal/>
    </border>
    <border>
      <left/>
      <right style="thin">
        <color theme="2" tint="-0.499984740745262"/>
      </right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 style="dashDotDot">
        <color theme="2" tint="-0.499984740745262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medium">
        <color theme="0" tint="-0.499984740745262"/>
      </bottom>
      <diagonal/>
    </border>
    <border>
      <left style="thin">
        <color theme="2" tint="-0.499984740745262"/>
      </left>
      <right/>
      <top style="medium">
        <color theme="0" tint="-0.499984740745262"/>
      </top>
      <bottom/>
      <diagonal/>
    </border>
    <border>
      <left style="thin">
        <color theme="2" tint="-0.499984740745262"/>
      </left>
      <right/>
      <top/>
      <bottom/>
      <diagonal/>
    </border>
    <border>
      <left style="thin">
        <color theme="2" tint="-0.499984740745262"/>
      </left>
      <right/>
      <top/>
      <bottom style="thin">
        <color theme="0" tint="-0.499984740745262"/>
      </bottom>
      <diagonal/>
    </border>
    <border>
      <left style="thin">
        <color theme="2" tint="-0.499984740745262"/>
      </left>
      <right/>
      <top style="thin">
        <color theme="0" tint="-0.499984740745262"/>
      </top>
      <bottom/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indexed="64"/>
      </top>
      <bottom style="medium">
        <color theme="0" tint="-0.499984740745262"/>
      </bottom>
      <diagonal/>
    </border>
    <border>
      <left/>
      <right style="thin">
        <color theme="2" tint="-0.499984740745262"/>
      </right>
      <top style="thin">
        <color indexed="64"/>
      </top>
      <bottom style="medium">
        <color theme="0" tint="-0.499984740745262"/>
      </bottom>
      <diagonal/>
    </border>
    <border>
      <left/>
      <right/>
      <top style="thin">
        <color indexed="64"/>
      </top>
      <bottom style="medium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2" tint="-0.499984740745262"/>
      </right>
      <top style="thin">
        <color theme="0" tint="-0.499984740745262"/>
      </top>
      <bottom/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0" fontId="18" fillId="33" borderId="10" xfId="1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0" fillId="34" borderId="10" xfId="0" applyNumberFormat="1" applyFont="1" applyFill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10" fontId="20" fillId="34" borderId="10" xfId="1" applyNumberFormat="1" applyFont="1" applyFill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0" fontId="20" fillId="0" borderId="0" xfId="1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176" fontId="14" fillId="0" borderId="12" xfId="0" applyNumberFormat="1" applyFont="1" applyBorder="1" applyAlignment="1">
      <alignment horizontal="center" vertical="center"/>
    </xf>
    <xf numFmtId="176" fontId="21" fillId="0" borderId="13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176" fontId="22" fillId="0" borderId="13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176" fontId="21" fillId="0" borderId="17" xfId="0" applyNumberFormat="1" applyFont="1" applyBorder="1" applyAlignment="1">
      <alignment horizontal="center" vertical="center"/>
    </xf>
    <xf numFmtId="10" fontId="0" fillId="35" borderId="0" xfId="0" applyNumberFormat="1" applyFill="1" applyAlignment="1">
      <alignment horizontal="center" vertical="center"/>
    </xf>
    <xf numFmtId="10" fontId="0" fillId="35" borderId="19" xfId="0" applyNumberFormat="1" applyFill="1" applyBorder="1" applyAlignment="1">
      <alignment horizontal="center" vertical="center"/>
    </xf>
    <xf numFmtId="176" fontId="22" fillId="0" borderId="17" xfId="0" applyNumberFormat="1" applyFont="1" applyBorder="1" applyAlignment="1">
      <alignment horizontal="center" vertical="center"/>
    </xf>
    <xf numFmtId="176" fontId="22" fillId="0" borderId="14" xfId="0" applyNumberFormat="1" applyFont="1" applyBorder="1" applyAlignment="1">
      <alignment horizontal="center" vertical="center"/>
    </xf>
    <xf numFmtId="176" fontId="21" fillId="0" borderId="14" xfId="0" applyNumberFormat="1" applyFont="1" applyBorder="1" applyAlignment="1">
      <alignment horizontal="center" vertical="center"/>
    </xf>
    <xf numFmtId="176" fontId="14" fillId="0" borderId="17" xfId="0" applyNumberFormat="1" applyFont="1" applyBorder="1" applyAlignment="1">
      <alignment horizontal="center" vertical="center"/>
    </xf>
    <xf numFmtId="176" fontId="22" fillId="0" borderId="30" xfId="0" applyNumberFormat="1" applyFont="1" applyBorder="1" applyAlignment="1">
      <alignment horizontal="center" vertical="center"/>
    </xf>
    <xf numFmtId="176" fontId="21" fillId="0" borderId="30" xfId="0" applyNumberFormat="1" applyFont="1" applyBorder="1" applyAlignment="1">
      <alignment horizontal="center" vertical="center"/>
    </xf>
    <xf numFmtId="176" fontId="21" fillId="0" borderId="29" xfId="0" applyNumberFormat="1" applyFont="1" applyBorder="1" applyAlignment="1">
      <alignment horizontal="center" vertical="center"/>
    </xf>
    <xf numFmtId="0" fontId="20" fillId="0" borderId="27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3" fillId="0" borderId="0" xfId="0" applyFont="1">
      <alignment vertical="center"/>
    </xf>
    <xf numFmtId="0" fontId="18" fillId="36" borderId="12" xfId="0" applyFont="1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10" fontId="0" fillId="0" borderId="0" xfId="0" applyNumberFormat="1" applyBorder="1" applyAlignment="1">
      <alignment horizontal="center" vertical="center"/>
    </xf>
    <xf numFmtId="10" fontId="0" fillId="35" borderId="0" xfId="0" applyNumberFormat="1" applyFill="1" applyBorder="1" applyAlignment="1">
      <alignment horizontal="center" vertical="center"/>
    </xf>
    <xf numFmtId="10" fontId="0" fillId="0" borderId="19" xfId="0" applyNumberFormat="1" applyFill="1" applyBorder="1" applyAlignment="1">
      <alignment horizontal="center" vertical="center"/>
    </xf>
    <xf numFmtId="176" fontId="22" fillId="0" borderId="13" xfId="0" applyNumberFormat="1" applyFont="1" applyFill="1" applyBorder="1" applyAlignment="1">
      <alignment horizontal="center" vertical="center"/>
    </xf>
    <xf numFmtId="176" fontId="22" fillId="0" borderId="17" xfId="0" applyNumberFormat="1" applyFont="1" applyFill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20" fillId="0" borderId="35" xfId="0" applyFont="1" applyBorder="1" applyAlignment="1">
      <alignment horizontal="center" vertical="center"/>
    </xf>
    <xf numFmtId="176" fontId="21" fillId="0" borderId="13" xfId="0" applyNumberFormat="1" applyFont="1" applyFill="1" applyBorder="1" applyAlignment="1">
      <alignment horizontal="center" vertical="center"/>
    </xf>
    <xf numFmtId="176" fontId="21" fillId="0" borderId="17" xfId="0" applyNumberFormat="1" applyFont="1" applyFill="1" applyBorder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176" fontId="22" fillId="0" borderId="12" xfId="0" applyNumberFormat="1" applyFont="1" applyFill="1" applyBorder="1" applyAlignment="1">
      <alignment horizontal="center" vertical="center"/>
    </xf>
    <xf numFmtId="176" fontId="22" fillId="0" borderId="14" xfId="0" applyNumberFormat="1" applyFont="1" applyFill="1" applyBorder="1" applyAlignment="1">
      <alignment horizontal="center" vertical="center"/>
    </xf>
    <xf numFmtId="176" fontId="14" fillId="0" borderId="12" xfId="0" applyNumberFormat="1" applyFont="1" applyFill="1" applyBorder="1" applyAlignment="1">
      <alignment horizontal="center" vertical="center"/>
    </xf>
    <xf numFmtId="176" fontId="21" fillId="0" borderId="14" xfId="0" applyNumberFormat="1" applyFont="1" applyFill="1" applyBorder="1" applyAlignment="1">
      <alignment horizontal="center" vertical="center"/>
    </xf>
    <xf numFmtId="176" fontId="14" fillId="0" borderId="17" xfId="0" applyNumberFormat="1" applyFont="1" applyFill="1" applyBorder="1" applyAlignment="1">
      <alignment horizontal="center" vertical="center"/>
    </xf>
  </cellXfs>
  <cellStyles count="43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24"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DFD01-9D50-4EA6-A7DD-A0B766D34BA5}">
  <dimension ref="A1:N60"/>
  <sheetViews>
    <sheetView topLeftCell="B1" zoomScaleNormal="100" workbookViewId="0">
      <pane ySplit="2" topLeftCell="A4" activePane="bottomLeft" state="frozen"/>
      <selection pane="bottomLeft" activeCell="D21" sqref="D21"/>
    </sheetView>
  </sheetViews>
  <sheetFormatPr defaultRowHeight="16.5" x14ac:dyDescent="0.25"/>
  <cols>
    <col min="1" max="2" width="11.375" style="8" customWidth="1"/>
    <col min="3" max="3" width="17.375" style="8" customWidth="1"/>
    <col min="4" max="4" width="8.625" style="8" customWidth="1"/>
    <col min="5" max="5" width="13.25" style="13" customWidth="1"/>
    <col min="6" max="6" width="16" style="8" customWidth="1"/>
    <col min="7" max="7" width="15.75" style="8" customWidth="1"/>
    <col min="10" max="10" width="15.375" customWidth="1"/>
    <col min="11" max="14" width="12.625" customWidth="1"/>
  </cols>
  <sheetData>
    <row r="1" spans="1:14" x14ac:dyDescent="0.25">
      <c r="A1" s="51" t="s">
        <v>48</v>
      </c>
      <c r="B1" s="51"/>
      <c r="C1" s="51"/>
      <c r="D1" s="51"/>
      <c r="E1" s="51"/>
      <c r="F1" s="51"/>
      <c r="G1" s="51"/>
    </row>
    <row r="2" spans="1:14" s="1" customFormat="1" x14ac:dyDescent="0.25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</row>
    <row r="3" spans="1:14" x14ac:dyDescent="0.25">
      <c r="A3" s="6">
        <v>3</v>
      </c>
      <c r="B3" s="6">
        <v>3</v>
      </c>
      <c r="C3" s="6" t="s">
        <v>7</v>
      </c>
      <c r="D3" s="6">
        <v>114</v>
      </c>
      <c r="E3" s="11">
        <v>3.0260421823129999E-4</v>
      </c>
      <c r="F3" s="9">
        <v>2.8355084394913299E-2</v>
      </c>
      <c r="G3" s="9">
        <v>0.97742896460482598</v>
      </c>
    </row>
    <row r="4" spans="1:14" x14ac:dyDescent="0.25">
      <c r="A4" s="6">
        <v>3</v>
      </c>
      <c r="B4" s="6">
        <v>3</v>
      </c>
      <c r="C4" s="6" t="s">
        <v>8</v>
      </c>
      <c r="D4" s="6">
        <v>114</v>
      </c>
      <c r="E4" s="11">
        <v>3.0722210317410001E-2</v>
      </c>
      <c r="F4" s="9">
        <v>3.54698888875836</v>
      </c>
      <c r="G4" s="9">
        <v>5.6845064904419997E-4</v>
      </c>
    </row>
    <row r="5" spans="1:14" x14ac:dyDescent="0.25">
      <c r="A5" s="5">
        <v>3</v>
      </c>
      <c r="B5" s="5">
        <v>3</v>
      </c>
      <c r="C5" s="6" t="s">
        <v>9</v>
      </c>
      <c r="D5" s="6">
        <v>114</v>
      </c>
      <c r="E5" s="11">
        <v>3.0419606099178698E-2</v>
      </c>
      <c r="F5" s="9">
        <v>3.5780818191419801</v>
      </c>
      <c r="G5" s="9">
        <v>5.1106356269530005E-4</v>
      </c>
      <c r="I5" s="41" t="s">
        <v>47</v>
      </c>
      <c r="J5" s="42"/>
      <c r="K5" s="42"/>
      <c r="L5" s="42"/>
      <c r="M5" s="42"/>
      <c r="N5" s="43"/>
    </row>
    <row r="6" spans="1:14" ht="17.25" thickBot="1" x14ac:dyDescent="0.3">
      <c r="A6" s="7">
        <v>3</v>
      </c>
      <c r="B6" s="7">
        <v>6</v>
      </c>
      <c r="C6" s="7" t="s">
        <v>7</v>
      </c>
      <c r="D6" s="7">
        <v>111</v>
      </c>
      <c r="E6" s="12">
        <v>1.51301049852723E-2</v>
      </c>
      <c r="F6" s="10">
        <v>1.1443893939324601</v>
      </c>
      <c r="G6" s="10">
        <v>0.25494625406830401</v>
      </c>
      <c r="I6" s="24" t="s">
        <v>46</v>
      </c>
      <c r="J6" s="21" t="s">
        <v>45</v>
      </c>
      <c r="K6" s="15">
        <v>3</v>
      </c>
      <c r="L6" s="15">
        <v>6</v>
      </c>
      <c r="M6" s="15">
        <v>9</v>
      </c>
      <c r="N6" s="25">
        <v>12</v>
      </c>
    </row>
    <row r="7" spans="1:14" x14ac:dyDescent="0.25">
      <c r="A7" s="7">
        <v>3</v>
      </c>
      <c r="B7" s="7">
        <v>6</v>
      </c>
      <c r="C7" s="7" t="s">
        <v>8</v>
      </c>
      <c r="D7" s="7">
        <v>111</v>
      </c>
      <c r="E7" s="12">
        <v>6.5631060309720005E-2</v>
      </c>
      <c r="F7" s="10">
        <v>4.6891959760591497</v>
      </c>
      <c r="G7" s="10">
        <v>7.9232025762956804E-6</v>
      </c>
      <c r="I7" s="49">
        <v>3</v>
      </c>
      <c r="J7" s="44" t="s">
        <v>7</v>
      </c>
      <c r="K7" s="14">
        <f>$E3</f>
        <v>3.0260421823129999E-4</v>
      </c>
      <c r="L7" s="14">
        <f>$E6</f>
        <v>1.51301049852723E-2</v>
      </c>
      <c r="M7" s="14">
        <f>$E9</f>
        <v>1.51244575442856E-2</v>
      </c>
      <c r="N7" s="26">
        <f>$E12</f>
        <v>2.3280515551955899E-2</v>
      </c>
    </row>
    <row r="8" spans="1:14" x14ac:dyDescent="0.25">
      <c r="A8" s="2">
        <v>3</v>
      </c>
      <c r="B8" s="2">
        <v>6</v>
      </c>
      <c r="C8" s="7" t="s">
        <v>9</v>
      </c>
      <c r="D8" s="7">
        <v>111</v>
      </c>
      <c r="E8" s="12">
        <v>5.0500955324447698E-2</v>
      </c>
      <c r="F8" s="10">
        <v>3.8236782043989401</v>
      </c>
      <c r="G8" s="10">
        <v>2.184178713642E-4</v>
      </c>
      <c r="I8" s="38"/>
      <c r="J8" s="45"/>
      <c r="K8" s="20" t="str">
        <f>"("&amp;TEXT($F3, "0.00")&amp;")"</f>
        <v>(0.03)</v>
      </c>
      <c r="L8" s="20" t="str">
        <f>"("&amp;TEXT($F6, "0.00")&amp;")"</f>
        <v>(1.14)</v>
      </c>
      <c r="M8" s="20" t="str">
        <f>"("&amp;TEXT($F9, "0.00")&amp;")"</f>
        <v>(0.96)</v>
      </c>
      <c r="N8" s="27" t="str">
        <f>"("&amp;TEXT($F12, "0.00")&amp;")"</f>
        <v>(1.16)</v>
      </c>
    </row>
    <row r="9" spans="1:14" x14ac:dyDescent="0.25">
      <c r="A9" s="6">
        <v>3</v>
      </c>
      <c r="B9" s="6">
        <v>9</v>
      </c>
      <c r="C9" s="6" t="s">
        <v>7</v>
      </c>
      <c r="D9" s="6">
        <v>108</v>
      </c>
      <c r="E9" s="11">
        <v>1.51244575442856E-2</v>
      </c>
      <c r="F9" s="9">
        <v>0.95653052500906299</v>
      </c>
      <c r="G9" s="9">
        <v>0.34096046080184</v>
      </c>
      <c r="I9" s="38"/>
      <c r="J9" s="46" t="s">
        <v>8</v>
      </c>
      <c r="K9" s="28">
        <f>$E4</f>
        <v>3.0722210317410001E-2</v>
      </c>
      <c r="L9" s="28">
        <f>$E7</f>
        <v>6.5631060309720005E-2</v>
      </c>
      <c r="M9" s="28">
        <f>$E10</f>
        <v>9.0526528336692905E-2</v>
      </c>
      <c r="N9" s="29">
        <f>$E13</f>
        <v>9.33097832882889E-2</v>
      </c>
    </row>
    <row r="10" spans="1:14" x14ac:dyDescent="0.25">
      <c r="A10" s="6">
        <v>3</v>
      </c>
      <c r="B10" s="6">
        <v>9</v>
      </c>
      <c r="C10" s="6" t="s">
        <v>8</v>
      </c>
      <c r="D10" s="6">
        <v>108</v>
      </c>
      <c r="E10" s="11">
        <v>9.0526528336692905E-2</v>
      </c>
      <c r="F10" s="9">
        <v>5.1462038766068803</v>
      </c>
      <c r="G10" s="9">
        <v>1.2141876138480901E-6</v>
      </c>
      <c r="I10" s="38"/>
      <c r="J10" s="45"/>
      <c r="K10" s="22" t="str">
        <f>"("&amp;TEXT($F4,"0.00")&amp;")"</f>
        <v>(3.55)</v>
      </c>
      <c r="L10" s="22" t="str">
        <f>"("&amp;TEXT($F7,"0.00")&amp;")"</f>
        <v>(4.69)</v>
      </c>
      <c r="M10" s="22" t="str">
        <f>"("&amp;TEXT($F10,"0.00")&amp;")"</f>
        <v>(5.15)</v>
      </c>
      <c r="N10" s="30" t="str">
        <f>"("&amp;TEXT($F13,"0.00")&amp;")"</f>
        <v>(4.41)</v>
      </c>
    </row>
    <row r="11" spans="1:14" x14ac:dyDescent="0.25">
      <c r="A11" s="5">
        <v>3</v>
      </c>
      <c r="B11" s="5">
        <v>9</v>
      </c>
      <c r="C11" s="6" t="s">
        <v>9</v>
      </c>
      <c r="D11" s="6">
        <v>108</v>
      </c>
      <c r="E11" s="11">
        <v>7.5402070792407294E-2</v>
      </c>
      <c r="F11" s="9">
        <v>4.4945377822361303</v>
      </c>
      <c r="G11" s="9">
        <v>1.7724280876774E-5</v>
      </c>
      <c r="I11" s="38"/>
      <c r="J11" s="47" t="s">
        <v>9</v>
      </c>
      <c r="K11" s="28">
        <f>$E5</f>
        <v>3.0419606099178698E-2</v>
      </c>
      <c r="L11" s="28">
        <f>$E8</f>
        <v>5.0500955324447698E-2</v>
      </c>
      <c r="M11" s="28">
        <f>$E11</f>
        <v>7.5402070792407294E-2</v>
      </c>
      <c r="N11" s="29">
        <f>$E14</f>
        <v>7.0029267736333001E-2</v>
      </c>
    </row>
    <row r="12" spans="1:14" x14ac:dyDescent="0.25">
      <c r="A12" s="7">
        <v>3</v>
      </c>
      <c r="B12" s="7">
        <v>12</v>
      </c>
      <c r="C12" s="7" t="s">
        <v>7</v>
      </c>
      <c r="D12" s="7">
        <v>105</v>
      </c>
      <c r="E12" s="12">
        <v>2.3280515551955899E-2</v>
      </c>
      <c r="F12" s="10">
        <v>1.1620071159640999</v>
      </c>
      <c r="G12" s="10">
        <v>0.24789234222405299</v>
      </c>
      <c r="I12" s="39"/>
      <c r="J12" s="48"/>
      <c r="K12" s="23" t="str">
        <f>"("&amp;TEXT($F5,"0.00")&amp;")"</f>
        <v>(3.58)</v>
      </c>
      <c r="L12" s="23" t="str">
        <f>"("&amp;TEXT($F8,"0.00")&amp;")"</f>
        <v>(3.82)</v>
      </c>
      <c r="M12" s="23" t="str">
        <f>"("&amp;TEXT($F11,"0.00")&amp;")"</f>
        <v>(4.49)</v>
      </c>
      <c r="N12" s="31" t="str">
        <f>"("&amp;TEXT($F14,"0.00")&amp;")"</f>
        <v>(3.39)</v>
      </c>
    </row>
    <row r="13" spans="1:14" x14ac:dyDescent="0.25">
      <c r="A13" s="7">
        <v>3</v>
      </c>
      <c r="B13" s="7">
        <v>12</v>
      </c>
      <c r="C13" s="7" t="s">
        <v>8</v>
      </c>
      <c r="D13" s="7">
        <v>105</v>
      </c>
      <c r="E13" s="12">
        <v>9.33097832882889E-2</v>
      </c>
      <c r="F13" s="10">
        <v>4.4123635783784998</v>
      </c>
      <c r="G13" s="10">
        <v>2.5034503907783899E-5</v>
      </c>
      <c r="I13" s="37">
        <v>6</v>
      </c>
      <c r="J13" s="65" t="s">
        <v>7</v>
      </c>
      <c r="K13" s="14">
        <v>4.7735012474096001E-3</v>
      </c>
      <c r="L13" s="14">
        <v>1.89783044088855E-2</v>
      </c>
      <c r="M13" s="14">
        <v>1.99711867006667E-2</v>
      </c>
      <c r="N13" s="26">
        <v>3.0649711185840801E-2</v>
      </c>
    </row>
    <row r="14" spans="1:14" x14ac:dyDescent="0.25">
      <c r="A14" s="2">
        <v>3</v>
      </c>
      <c r="B14" s="2">
        <v>12</v>
      </c>
      <c r="C14" s="7" t="s">
        <v>9</v>
      </c>
      <c r="D14" s="7">
        <v>105</v>
      </c>
      <c r="E14" s="12">
        <v>7.0029267736333001E-2</v>
      </c>
      <c r="F14" s="10">
        <v>3.3910500846225302</v>
      </c>
      <c r="G14" s="10">
        <v>9.8533179837500011E-4</v>
      </c>
      <c r="I14" s="38"/>
      <c r="J14" s="45"/>
      <c r="K14" s="20" t="s">
        <v>10</v>
      </c>
      <c r="L14" s="20" t="s">
        <v>19</v>
      </c>
      <c r="M14" s="20" t="s">
        <v>22</v>
      </c>
      <c r="N14" s="27" t="s">
        <v>25</v>
      </c>
    </row>
    <row r="15" spans="1:14" x14ac:dyDescent="0.25">
      <c r="A15" s="6">
        <v>6</v>
      </c>
      <c r="B15" s="6">
        <v>3</v>
      </c>
      <c r="C15" s="6" t="s">
        <v>7</v>
      </c>
      <c r="D15" s="6">
        <v>111</v>
      </c>
      <c r="E15" s="11">
        <v>4.7735012474096001E-3</v>
      </c>
      <c r="F15" s="9">
        <v>0.44911286122773603</v>
      </c>
      <c r="G15" s="9">
        <v>0.65423383389473</v>
      </c>
      <c r="I15" s="38"/>
      <c r="J15" s="46" t="s">
        <v>8</v>
      </c>
      <c r="K15" s="28">
        <v>2.7115683765055399E-2</v>
      </c>
      <c r="L15" s="28">
        <v>5.4315765000363898E-2</v>
      </c>
      <c r="M15" s="28">
        <v>6.03256929965394E-2</v>
      </c>
      <c r="N15" s="29">
        <v>5.3065850483251402E-2</v>
      </c>
    </row>
    <row r="16" spans="1:14" x14ac:dyDescent="0.25">
      <c r="A16" s="6">
        <v>6</v>
      </c>
      <c r="B16" s="6">
        <v>3</v>
      </c>
      <c r="C16" s="6" t="s">
        <v>8</v>
      </c>
      <c r="D16" s="6">
        <v>111</v>
      </c>
      <c r="E16" s="11">
        <v>2.7115683765055399E-2</v>
      </c>
      <c r="F16" s="9">
        <v>3.13615113483938</v>
      </c>
      <c r="G16" s="9">
        <v>2.1961835765053998E-3</v>
      </c>
      <c r="I16" s="38"/>
      <c r="J16" s="45"/>
      <c r="K16" s="22" t="s">
        <v>11</v>
      </c>
      <c r="L16" s="22" t="s">
        <v>20</v>
      </c>
      <c r="M16" s="22" t="s">
        <v>23</v>
      </c>
      <c r="N16" s="30" t="s">
        <v>26</v>
      </c>
    </row>
    <row r="17" spans="1:14" x14ac:dyDescent="0.25">
      <c r="A17" s="5">
        <v>6</v>
      </c>
      <c r="B17" s="5">
        <v>3</v>
      </c>
      <c r="C17" s="6" t="s">
        <v>9</v>
      </c>
      <c r="D17" s="6">
        <v>111</v>
      </c>
      <c r="E17" s="11">
        <v>2.23421825176458E-2</v>
      </c>
      <c r="F17" s="9">
        <v>2.6870396316370502</v>
      </c>
      <c r="G17" s="9">
        <v>8.3279350537053005E-3</v>
      </c>
      <c r="I17" s="38"/>
      <c r="J17" s="47" t="s">
        <v>9</v>
      </c>
      <c r="K17" s="28">
        <v>2.23421825176458E-2</v>
      </c>
      <c r="L17" s="28">
        <v>3.5337460591478298E-2</v>
      </c>
      <c r="M17" s="28">
        <v>4.0354506295872603E-2</v>
      </c>
      <c r="N17" s="26">
        <v>2.2416139297410601E-2</v>
      </c>
    </row>
    <row r="18" spans="1:14" x14ac:dyDescent="0.25">
      <c r="A18" s="7">
        <v>6</v>
      </c>
      <c r="B18" s="7">
        <v>6</v>
      </c>
      <c r="C18" s="7" t="s">
        <v>7</v>
      </c>
      <c r="D18" s="7">
        <v>108</v>
      </c>
      <c r="E18" s="12">
        <v>1.89783044088855E-2</v>
      </c>
      <c r="F18" s="10">
        <v>1.34747042886984</v>
      </c>
      <c r="G18" s="10">
        <v>0.18067514945157101</v>
      </c>
      <c r="I18" s="39"/>
      <c r="J18" s="48"/>
      <c r="K18" s="19" t="s">
        <v>12</v>
      </c>
      <c r="L18" s="23" t="s">
        <v>21</v>
      </c>
      <c r="M18" s="23" t="s">
        <v>24</v>
      </c>
      <c r="N18" s="32" t="s">
        <v>27</v>
      </c>
    </row>
    <row r="19" spans="1:14" x14ac:dyDescent="0.25">
      <c r="A19" s="7">
        <v>6</v>
      </c>
      <c r="B19" s="7">
        <v>6</v>
      </c>
      <c r="C19" s="7" t="s">
        <v>8</v>
      </c>
      <c r="D19" s="7">
        <v>108</v>
      </c>
      <c r="E19" s="12">
        <v>5.4315765000363898E-2</v>
      </c>
      <c r="F19" s="10">
        <v>4.1771525637975904</v>
      </c>
      <c r="G19" s="10">
        <v>6.0419980721123302E-5</v>
      </c>
      <c r="I19" s="37">
        <v>9</v>
      </c>
      <c r="J19" s="65" t="s">
        <v>7</v>
      </c>
      <c r="K19" s="14">
        <v>5.9719290995810005E-4</v>
      </c>
      <c r="L19" s="14">
        <v>6.1873933427599999E-4</v>
      </c>
      <c r="M19" s="14">
        <v>1.523367447362E-3</v>
      </c>
      <c r="N19" s="26">
        <v>1.5399793559194999E-2</v>
      </c>
    </row>
    <row r="20" spans="1:14" x14ac:dyDescent="0.25">
      <c r="A20" s="2">
        <v>6</v>
      </c>
      <c r="B20" s="2">
        <v>6</v>
      </c>
      <c r="C20" s="7" t="s">
        <v>9</v>
      </c>
      <c r="D20" s="7">
        <v>108</v>
      </c>
      <c r="E20" s="12">
        <v>3.5337460591478298E-2</v>
      </c>
      <c r="F20" s="10">
        <v>2.98291024159405</v>
      </c>
      <c r="G20" s="10">
        <v>3.5367985366198001E-3</v>
      </c>
      <c r="I20" s="38"/>
      <c r="J20" s="45"/>
      <c r="K20" s="20" t="s">
        <v>16</v>
      </c>
      <c r="L20" s="20" t="s">
        <v>28</v>
      </c>
      <c r="M20" s="20" t="s">
        <v>29</v>
      </c>
      <c r="N20" s="27" t="s">
        <v>30</v>
      </c>
    </row>
    <row r="21" spans="1:14" x14ac:dyDescent="0.25">
      <c r="A21" s="6">
        <v>6</v>
      </c>
      <c r="B21" s="6">
        <v>9</v>
      </c>
      <c r="C21" s="6" t="s">
        <v>7</v>
      </c>
      <c r="D21" s="6">
        <v>105</v>
      </c>
      <c r="E21" s="11">
        <v>1.99711867006667E-2</v>
      </c>
      <c r="F21" s="9">
        <v>1.20457814144487</v>
      </c>
      <c r="G21" s="9">
        <v>0.231100321207518</v>
      </c>
      <c r="I21" s="38"/>
      <c r="J21" s="46" t="s">
        <v>8</v>
      </c>
      <c r="K21" s="28">
        <v>2.8474975298435901E-2</v>
      </c>
      <c r="L21" s="28">
        <v>4.1623593254200397E-2</v>
      </c>
      <c r="M21" s="28">
        <v>4.0294606718451698E-2</v>
      </c>
      <c r="N21" s="29">
        <v>4.1963339851818701E-2</v>
      </c>
    </row>
    <row r="22" spans="1:14" x14ac:dyDescent="0.25">
      <c r="A22" s="6">
        <v>6</v>
      </c>
      <c r="B22" s="6">
        <v>9</v>
      </c>
      <c r="C22" s="6" t="s">
        <v>8</v>
      </c>
      <c r="D22" s="6">
        <v>105</v>
      </c>
      <c r="E22" s="11">
        <v>6.03256929965394E-2</v>
      </c>
      <c r="F22" s="9">
        <v>3.6065100358000701</v>
      </c>
      <c r="G22" s="9">
        <v>4.7856639655370002E-4</v>
      </c>
      <c r="I22" s="38"/>
      <c r="J22" s="45"/>
      <c r="K22" s="22" t="s">
        <v>17</v>
      </c>
      <c r="L22" s="22" t="s">
        <v>31</v>
      </c>
      <c r="M22" s="22" t="s">
        <v>32</v>
      </c>
      <c r="N22" s="30" t="s">
        <v>33</v>
      </c>
    </row>
    <row r="23" spans="1:14" x14ac:dyDescent="0.25">
      <c r="A23" s="5">
        <v>6</v>
      </c>
      <c r="B23" s="5">
        <v>9</v>
      </c>
      <c r="C23" s="6" t="s">
        <v>9</v>
      </c>
      <c r="D23" s="6">
        <v>105</v>
      </c>
      <c r="E23" s="11">
        <v>4.0354506295872603E-2</v>
      </c>
      <c r="F23" s="9">
        <v>2.7064255503855201</v>
      </c>
      <c r="G23" s="9">
        <v>7.9506872459265999E-3</v>
      </c>
      <c r="I23" s="38"/>
      <c r="J23" s="47" t="s">
        <v>9</v>
      </c>
      <c r="K23" s="28">
        <v>2.7877782388477702E-2</v>
      </c>
      <c r="L23" s="28">
        <v>4.1004853919924297E-2</v>
      </c>
      <c r="M23" s="28">
        <v>3.8771239271089601E-2</v>
      </c>
      <c r="N23" s="26">
        <v>2.6563546292623599E-2</v>
      </c>
    </row>
    <row r="24" spans="1:14" x14ac:dyDescent="0.25">
      <c r="A24" s="7">
        <v>6</v>
      </c>
      <c r="B24" s="7">
        <v>12</v>
      </c>
      <c r="C24" s="7" t="s">
        <v>7</v>
      </c>
      <c r="D24" s="7">
        <v>102</v>
      </c>
      <c r="E24" s="12">
        <v>3.0649711185840801E-2</v>
      </c>
      <c r="F24" s="10">
        <v>1.5309333480479801</v>
      </c>
      <c r="G24" s="10">
        <v>0.12891208974354801</v>
      </c>
      <c r="I24" s="39"/>
      <c r="J24" s="48"/>
      <c r="K24" s="19" t="s">
        <v>18</v>
      </c>
      <c r="L24" s="23" t="s">
        <v>34</v>
      </c>
      <c r="M24" s="23" t="s">
        <v>32</v>
      </c>
      <c r="N24" s="32" t="s">
        <v>35</v>
      </c>
    </row>
    <row r="25" spans="1:14" x14ac:dyDescent="0.25">
      <c r="A25" s="7">
        <v>6</v>
      </c>
      <c r="B25" s="7">
        <v>12</v>
      </c>
      <c r="C25" s="7" t="s">
        <v>8</v>
      </c>
      <c r="D25" s="7">
        <v>102</v>
      </c>
      <c r="E25" s="12">
        <v>5.3065850483251402E-2</v>
      </c>
      <c r="F25" s="10">
        <v>2.6749590287444098</v>
      </c>
      <c r="G25" s="10">
        <v>8.7196464352812999E-3</v>
      </c>
      <c r="I25" s="37">
        <v>12</v>
      </c>
      <c r="J25" s="65" t="s">
        <v>7</v>
      </c>
      <c r="K25" s="14">
        <v>-6.2206069450507998E-3</v>
      </c>
      <c r="L25" s="14">
        <v>-6.9457633388909999E-4</v>
      </c>
      <c r="M25" s="14">
        <v>1.7274350360729E-2</v>
      </c>
      <c r="N25" s="29">
        <v>4.7582304856785398E-2</v>
      </c>
    </row>
    <row r="26" spans="1:14" x14ac:dyDescent="0.25">
      <c r="A26" s="7">
        <v>6</v>
      </c>
      <c r="B26" s="7">
        <v>12</v>
      </c>
      <c r="C26" s="7" t="s">
        <v>9</v>
      </c>
      <c r="D26" s="7">
        <v>102</v>
      </c>
      <c r="E26" s="12">
        <v>2.2416139297410601E-2</v>
      </c>
      <c r="F26" s="10">
        <v>1.2647026514538</v>
      </c>
      <c r="G26" s="10">
        <v>0.208888402471089</v>
      </c>
      <c r="I26" s="38"/>
      <c r="J26" s="45"/>
      <c r="K26" s="20" t="s">
        <v>13</v>
      </c>
      <c r="L26" s="20" t="s">
        <v>36</v>
      </c>
      <c r="M26" s="20" t="s">
        <v>37</v>
      </c>
      <c r="N26" s="33" t="s">
        <v>38</v>
      </c>
    </row>
    <row r="27" spans="1:14" x14ac:dyDescent="0.25">
      <c r="A27" s="6">
        <v>9</v>
      </c>
      <c r="B27" s="6">
        <v>3</v>
      </c>
      <c r="C27" s="6" t="s">
        <v>7</v>
      </c>
      <c r="D27" s="6">
        <v>108</v>
      </c>
      <c r="E27" s="11">
        <v>5.9719290995810005E-4</v>
      </c>
      <c r="F27" s="9">
        <v>5.2714981072726597E-2</v>
      </c>
      <c r="G27" s="9">
        <v>0.95805729432186704</v>
      </c>
      <c r="I27" s="38"/>
      <c r="J27" s="46" t="s">
        <v>8</v>
      </c>
      <c r="K27" s="14">
        <v>1.55610672921839E-2</v>
      </c>
      <c r="L27" s="14">
        <v>2.14332070845108E-2</v>
      </c>
      <c r="M27" s="14">
        <v>3.3700752615642197E-2</v>
      </c>
      <c r="N27" s="29">
        <v>5.05347405509049E-2</v>
      </c>
    </row>
    <row r="28" spans="1:14" x14ac:dyDescent="0.25">
      <c r="A28" s="6">
        <v>9</v>
      </c>
      <c r="B28" s="6">
        <v>3</v>
      </c>
      <c r="C28" s="6" t="s">
        <v>8</v>
      </c>
      <c r="D28" s="6">
        <v>108</v>
      </c>
      <c r="E28" s="11">
        <v>2.8474975298435901E-2</v>
      </c>
      <c r="F28" s="9">
        <v>3.2314643208591001</v>
      </c>
      <c r="G28" s="9">
        <v>1.6370331429953E-3</v>
      </c>
      <c r="I28" s="38"/>
      <c r="J28" s="45"/>
      <c r="K28" s="20" t="s">
        <v>14</v>
      </c>
      <c r="L28" s="20" t="s">
        <v>39</v>
      </c>
      <c r="M28" s="20" t="s">
        <v>40</v>
      </c>
      <c r="N28" s="33" t="s">
        <v>41</v>
      </c>
    </row>
    <row r="29" spans="1:14" x14ac:dyDescent="0.25">
      <c r="A29" s="5">
        <v>9</v>
      </c>
      <c r="B29" s="5">
        <v>3</v>
      </c>
      <c r="C29" s="6" t="s">
        <v>9</v>
      </c>
      <c r="D29" s="6">
        <v>108</v>
      </c>
      <c r="E29" s="11">
        <v>2.7877782388477702E-2</v>
      </c>
      <c r="F29" s="9">
        <v>2.8904916757838102</v>
      </c>
      <c r="G29" s="9">
        <v>4.6583346619845003E-3</v>
      </c>
      <c r="I29" s="38"/>
      <c r="J29" s="47" t="s">
        <v>9</v>
      </c>
      <c r="K29" s="28">
        <v>2.1781674237234702E-2</v>
      </c>
      <c r="L29" s="14">
        <v>2.21277834183999E-2</v>
      </c>
      <c r="M29" s="14">
        <v>1.6426402254913201E-2</v>
      </c>
      <c r="N29" s="26">
        <v>2.9524356941194999E-3</v>
      </c>
    </row>
    <row r="30" spans="1:14" x14ac:dyDescent="0.25">
      <c r="A30" s="7">
        <v>9</v>
      </c>
      <c r="B30" s="7">
        <v>6</v>
      </c>
      <c r="C30" s="7" t="s">
        <v>7</v>
      </c>
      <c r="D30" s="7">
        <v>105</v>
      </c>
      <c r="E30" s="12">
        <v>6.1873933427599999E-4</v>
      </c>
      <c r="F30" s="10">
        <v>4.4346786661663397E-2</v>
      </c>
      <c r="G30" s="10">
        <v>0.96471301456515401</v>
      </c>
      <c r="I30" s="40"/>
      <c r="J30" s="48"/>
      <c r="K30" s="34" t="s">
        <v>15</v>
      </c>
      <c r="L30" s="35" t="s">
        <v>42</v>
      </c>
      <c r="M30" s="35" t="s">
        <v>43</v>
      </c>
      <c r="N30" s="36" t="s">
        <v>44</v>
      </c>
    </row>
    <row r="31" spans="1:14" x14ac:dyDescent="0.25">
      <c r="A31" s="7">
        <v>9</v>
      </c>
      <c r="B31" s="7">
        <v>6</v>
      </c>
      <c r="C31" s="7" t="s">
        <v>8</v>
      </c>
      <c r="D31" s="7">
        <v>105</v>
      </c>
      <c r="E31" s="12">
        <v>4.1623593254200397E-2</v>
      </c>
      <c r="F31" s="10">
        <v>3.1788306862105702</v>
      </c>
      <c r="G31" s="10">
        <v>1.9481016183373E-3</v>
      </c>
      <c r="K31" s="17"/>
      <c r="L31" s="14"/>
      <c r="M31" s="14"/>
      <c r="N31" s="14"/>
    </row>
    <row r="32" spans="1:14" x14ac:dyDescent="0.25">
      <c r="A32" s="2">
        <v>9</v>
      </c>
      <c r="B32" s="2">
        <v>6</v>
      </c>
      <c r="C32" s="7" t="s">
        <v>9</v>
      </c>
      <c r="D32" s="7">
        <v>105</v>
      </c>
      <c r="E32" s="12">
        <v>4.1004853919924297E-2</v>
      </c>
      <c r="F32" s="10">
        <v>3.2691054510320399</v>
      </c>
      <c r="G32" s="10">
        <v>1.4631170676755001E-3</v>
      </c>
      <c r="K32" s="18"/>
      <c r="L32" s="16"/>
      <c r="M32" s="16"/>
      <c r="N32" s="16"/>
    </row>
    <row r="33" spans="1:14" x14ac:dyDescent="0.25">
      <c r="A33" s="6">
        <v>9</v>
      </c>
      <c r="B33" s="6">
        <v>9</v>
      </c>
      <c r="C33" s="6" t="s">
        <v>7</v>
      </c>
      <c r="D33" s="6">
        <v>102</v>
      </c>
      <c r="E33" s="11">
        <v>1.523367447362E-3</v>
      </c>
      <c r="F33" s="9">
        <v>9.0674662684546395E-2</v>
      </c>
      <c r="G33" s="9">
        <v>0.92793068806257695</v>
      </c>
      <c r="K33" s="17"/>
      <c r="L33" s="14"/>
      <c r="M33" s="14"/>
      <c r="N33" s="14"/>
    </row>
    <row r="34" spans="1:14" x14ac:dyDescent="0.25">
      <c r="A34" s="6">
        <v>9</v>
      </c>
      <c r="B34" s="6">
        <v>9</v>
      </c>
      <c r="C34" s="6" t="s">
        <v>8</v>
      </c>
      <c r="D34" s="6">
        <v>102</v>
      </c>
      <c r="E34" s="11">
        <v>4.0294606718451698E-2</v>
      </c>
      <c r="F34" s="9">
        <v>2.4803654449841401</v>
      </c>
      <c r="G34" s="9">
        <v>1.47777782253665E-2</v>
      </c>
      <c r="K34" s="18"/>
      <c r="L34" s="16"/>
      <c r="M34" s="16"/>
      <c r="N34" s="16"/>
    </row>
    <row r="35" spans="1:14" x14ac:dyDescent="0.25">
      <c r="A35" s="5">
        <v>9</v>
      </c>
      <c r="B35" s="5">
        <v>9</v>
      </c>
      <c r="C35" s="6" t="s">
        <v>9</v>
      </c>
      <c r="D35" s="6">
        <v>102</v>
      </c>
      <c r="E35" s="11">
        <v>3.8771239271089601E-2</v>
      </c>
      <c r="F35" s="9">
        <v>2.4818415957859701</v>
      </c>
      <c r="G35" s="9">
        <v>1.4720291072391501E-2</v>
      </c>
      <c r="K35" s="17"/>
      <c r="L35" s="14"/>
      <c r="M35" s="14"/>
      <c r="N35" s="14"/>
    </row>
    <row r="36" spans="1:14" x14ac:dyDescent="0.25">
      <c r="A36" s="7">
        <v>9</v>
      </c>
      <c r="B36" s="7">
        <v>12</v>
      </c>
      <c r="C36" s="7" t="s">
        <v>7</v>
      </c>
      <c r="D36" s="7">
        <v>99</v>
      </c>
      <c r="E36" s="12">
        <v>1.5399793559194999E-2</v>
      </c>
      <c r="F36" s="10">
        <v>0.78676070623234695</v>
      </c>
      <c r="G36" s="10">
        <v>0.43332043259999797</v>
      </c>
      <c r="K36" s="18"/>
      <c r="L36" s="16"/>
      <c r="M36" s="16"/>
      <c r="N36" s="16"/>
    </row>
    <row r="37" spans="1:14" x14ac:dyDescent="0.25">
      <c r="A37" s="7">
        <v>9</v>
      </c>
      <c r="B37" s="7">
        <v>12</v>
      </c>
      <c r="C37" s="7" t="s">
        <v>8</v>
      </c>
      <c r="D37" s="7">
        <v>99</v>
      </c>
      <c r="E37" s="12">
        <v>4.1963339851818701E-2</v>
      </c>
      <c r="F37" s="10">
        <v>1.9830952728584299</v>
      </c>
      <c r="G37" s="10">
        <v>5.0155542116857701E-2</v>
      </c>
      <c r="K37" s="14"/>
      <c r="L37" s="14"/>
      <c r="M37" s="14"/>
      <c r="N37" s="14"/>
    </row>
    <row r="38" spans="1:14" x14ac:dyDescent="0.25">
      <c r="A38" s="7">
        <v>9</v>
      </c>
      <c r="B38" s="7">
        <v>12</v>
      </c>
      <c r="C38" s="7" t="s">
        <v>9</v>
      </c>
      <c r="D38" s="7">
        <v>99</v>
      </c>
      <c r="E38" s="12">
        <v>2.6563546292623599E-2</v>
      </c>
      <c r="F38" s="10">
        <v>1.36957393403213</v>
      </c>
      <c r="G38" s="10">
        <v>0.17395011282650499</v>
      </c>
      <c r="K38" s="16"/>
      <c r="L38" s="16"/>
      <c r="M38" s="16"/>
      <c r="N38" s="16"/>
    </row>
    <row r="39" spans="1:14" x14ac:dyDescent="0.25">
      <c r="A39" s="6">
        <v>12</v>
      </c>
      <c r="B39" s="6">
        <v>3</v>
      </c>
      <c r="C39" s="6" t="s">
        <v>7</v>
      </c>
      <c r="D39" s="6">
        <v>105</v>
      </c>
      <c r="E39" s="11">
        <v>-6.2206069450507998E-3</v>
      </c>
      <c r="F39" s="9">
        <v>-0.53583211527644603</v>
      </c>
      <c r="G39" s="9">
        <v>0.59321870892864503</v>
      </c>
      <c r="K39" s="14"/>
      <c r="L39" s="14"/>
      <c r="M39" s="14"/>
      <c r="N39" s="14"/>
    </row>
    <row r="40" spans="1:14" x14ac:dyDescent="0.25">
      <c r="A40" s="6">
        <v>12</v>
      </c>
      <c r="B40" s="6">
        <v>3</v>
      </c>
      <c r="C40" s="6" t="s">
        <v>8</v>
      </c>
      <c r="D40" s="6">
        <v>105</v>
      </c>
      <c r="E40" s="11">
        <v>1.55610672921839E-2</v>
      </c>
      <c r="F40" s="9">
        <v>1.7682394061761799</v>
      </c>
      <c r="G40" s="9">
        <v>7.9953173706632505E-2</v>
      </c>
      <c r="K40" s="16"/>
      <c r="L40" s="16"/>
      <c r="M40" s="16"/>
      <c r="N40" s="16"/>
    </row>
    <row r="41" spans="1:14" x14ac:dyDescent="0.25">
      <c r="A41" s="5">
        <v>12</v>
      </c>
      <c r="B41" s="5">
        <v>3</v>
      </c>
      <c r="C41" s="6" t="s">
        <v>9</v>
      </c>
      <c r="D41" s="6">
        <v>105</v>
      </c>
      <c r="E41" s="11">
        <v>2.1781674237234702E-2</v>
      </c>
      <c r="F41" s="9">
        <v>2.18444160507469</v>
      </c>
      <c r="G41" s="9">
        <v>3.1175742226854802E-2</v>
      </c>
      <c r="K41" s="14"/>
      <c r="L41" s="14"/>
      <c r="M41" s="14"/>
      <c r="N41" s="14"/>
    </row>
    <row r="42" spans="1:14" x14ac:dyDescent="0.25">
      <c r="A42" s="7">
        <v>12</v>
      </c>
      <c r="B42" s="7">
        <v>6</v>
      </c>
      <c r="C42" s="7" t="s">
        <v>7</v>
      </c>
      <c r="D42" s="7">
        <v>102</v>
      </c>
      <c r="E42" s="12">
        <v>-6.9457633388909999E-4</v>
      </c>
      <c r="F42" s="10">
        <v>-4.6921789058382297E-2</v>
      </c>
      <c r="G42" s="10">
        <v>0.96266821624608201</v>
      </c>
      <c r="K42" s="16"/>
      <c r="L42" s="16"/>
      <c r="M42" s="16"/>
      <c r="N42" s="16"/>
    </row>
    <row r="43" spans="1:14" x14ac:dyDescent="0.25">
      <c r="A43" s="7">
        <v>12</v>
      </c>
      <c r="B43" s="7">
        <v>6</v>
      </c>
      <c r="C43" s="7" t="s">
        <v>8</v>
      </c>
      <c r="D43" s="7">
        <v>102</v>
      </c>
      <c r="E43" s="12">
        <v>2.14332070845108E-2</v>
      </c>
      <c r="F43" s="10">
        <v>1.5868298092322599</v>
      </c>
      <c r="G43" s="10">
        <v>0.11567711128970599</v>
      </c>
      <c r="K43" s="17"/>
      <c r="L43" s="14"/>
      <c r="M43" s="14"/>
      <c r="N43" s="14"/>
    </row>
    <row r="44" spans="1:14" x14ac:dyDescent="0.25">
      <c r="A44" s="7">
        <v>12</v>
      </c>
      <c r="B44" s="7">
        <v>6</v>
      </c>
      <c r="C44" s="7" t="s">
        <v>9</v>
      </c>
      <c r="D44" s="7">
        <v>102</v>
      </c>
      <c r="E44" s="12">
        <v>2.21277834183999E-2</v>
      </c>
      <c r="F44" s="10">
        <v>1.5686371069098901</v>
      </c>
      <c r="G44" s="10">
        <v>0.119860281551464</v>
      </c>
      <c r="K44" s="18"/>
      <c r="L44" s="16"/>
      <c r="M44" s="16"/>
      <c r="N44" s="16"/>
    </row>
    <row r="45" spans="1:14" x14ac:dyDescent="0.25">
      <c r="A45" s="6">
        <v>12</v>
      </c>
      <c r="B45" s="6">
        <v>9</v>
      </c>
      <c r="C45" s="6" t="s">
        <v>7</v>
      </c>
      <c r="D45" s="6">
        <v>99</v>
      </c>
      <c r="E45" s="11">
        <v>1.7274350360729E-2</v>
      </c>
      <c r="F45" s="9">
        <v>0.96718798430602604</v>
      </c>
      <c r="G45" s="9">
        <v>0.335830909036957</v>
      </c>
      <c r="K45" s="17"/>
      <c r="L45" s="14"/>
      <c r="M45" s="14"/>
      <c r="N45" s="14"/>
    </row>
    <row r="46" spans="1:14" x14ac:dyDescent="0.25">
      <c r="A46" s="6">
        <v>12</v>
      </c>
      <c r="B46" s="6">
        <v>9</v>
      </c>
      <c r="C46" s="6" t="s">
        <v>8</v>
      </c>
      <c r="D46" s="6">
        <v>99</v>
      </c>
      <c r="E46" s="11">
        <v>3.3700752615642197E-2</v>
      </c>
      <c r="F46" s="9">
        <v>1.9111876517641899</v>
      </c>
      <c r="G46" s="9">
        <v>5.8902534117065301E-2</v>
      </c>
      <c r="K46" s="18"/>
      <c r="L46" s="16"/>
      <c r="M46" s="16"/>
      <c r="N46" s="16"/>
    </row>
    <row r="47" spans="1:14" x14ac:dyDescent="0.25">
      <c r="A47" s="6">
        <v>12</v>
      </c>
      <c r="B47" s="6">
        <v>9</v>
      </c>
      <c r="C47" s="6" t="s">
        <v>9</v>
      </c>
      <c r="D47" s="6">
        <v>99</v>
      </c>
      <c r="E47" s="11">
        <v>1.6426402254913201E-2</v>
      </c>
      <c r="F47" s="9">
        <v>0.93121947420209605</v>
      </c>
      <c r="G47" s="9">
        <v>0.35402843630614</v>
      </c>
      <c r="K47" s="17"/>
      <c r="L47" s="14"/>
      <c r="M47" s="14"/>
      <c r="N47" s="14"/>
    </row>
    <row r="48" spans="1:14" x14ac:dyDescent="0.25">
      <c r="A48" s="7">
        <v>12</v>
      </c>
      <c r="B48" s="7">
        <v>12</v>
      </c>
      <c r="C48" s="7" t="s">
        <v>7</v>
      </c>
      <c r="D48" s="7">
        <v>96</v>
      </c>
      <c r="E48" s="12">
        <v>4.7582304856785398E-2</v>
      </c>
      <c r="F48" s="10">
        <v>2.1319726491645499</v>
      </c>
      <c r="G48" s="10">
        <v>3.5588701036567499E-2</v>
      </c>
      <c r="K48" s="18"/>
      <c r="L48" s="16"/>
      <c r="M48" s="16"/>
      <c r="N48" s="16"/>
    </row>
    <row r="49" spans="1:14" x14ac:dyDescent="0.25">
      <c r="A49" s="7">
        <v>12</v>
      </c>
      <c r="B49" s="7">
        <v>12</v>
      </c>
      <c r="C49" s="7" t="s">
        <v>8</v>
      </c>
      <c r="D49" s="7">
        <v>96</v>
      </c>
      <c r="E49" s="12">
        <v>5.05347405509049E-2</v>
      </c>
      <c r="F49" s="10">
        <v>2.24675213526971</v>
      </c>
      <c r="G49" s="10">
        <v>2.6971310954366098E-2</v>
      </c>
      <c r="K49" s="14"/>
      <c r="L49" s="14"/>
      <c r="M49" s="14"/>
      <c r="N49" s="14"/>
    </row>
    <row r="50" spans="1:14" x14ac:dyDescent="0.25">
      <c r="A50" s="7">
        <v>12</v>
      </c>
      <c r="B50" s="7">
        <v>12</v>
      </c>
      <c r="C50" s="7" t="s">
        <v>9</v>
      </c>
      <c r="D50" s="7">
        <v>96</v>
      </c>
      <c r="E50" s="12">
        <v>2.9524356941194999E-3</v>
      </c>
      <c r="F50" s="10">
        <v>0.12530451887434399</v>
      </c>
      <c r="G50" s="10">
        <v>0.90054726036784105</v>
      </c>
      <c r="K50" s="16"/>
      <c r="L50" s="16"/>
      <c r="M50" s="16"/>
      <c r="N50" s="16"/>
    </row>
    <row r="51" spans="1:14" x14ac:dyDescent="0.25">
      <c r="K51" s="14"/>
      <c r="L51" s="14"/>
      <c r="M51" s="14"/>
      <c r="N51" s="14"/>
    </row>
    <row r="52" spans="1:14" x14ac:dyDescent="0.25">
      <c r="K52" s="16"/>
      <c r="L52" s="16"/>
      <c r="M52" s="16"/>
      <c r="N52" s="16"/>
    </row>
    <row r="53" spans="1:14" x14ac:dyDescent="0.25">
      <c r="K53" s="14"/>
      <c r="L53" s="14"/>
      <c r="M53" s="14"/>
      <c r="N53" s="14"/>
    </row>
    <row r="54" spans="1:14" x14ac:dyDescent="0.25">
      <c r="K54" s="16"/>
      <c r="L54" s="16"/>
      <c r="M54" s="16"/>
      <c r="N54" s="16"/>
    </row>
    <row r="55" spans="1:14" x14ac:dyDescent="0.25">
      <c r="K55" s="14"/>
      <c r="L55" s="14"/>
      <c r="M55" s="14"/>
      <c r="N55" s="14"/>
    </row>
    <row r="56" spans="1:14" x14ac:dyDescent="0.25">
      <c r="K56" s="16"/>
      <c r="L56" s="16"/>
      <c r="M56" s="16"/>
      <c r="N56" s="16"/>
    </row>
    <row r="57" spans="1:14" x14ac:dyDescent="0.25">
      <c r="K57" s="14"/>
      <c r="L57" s="14"/>
      <c r="M57" s="14"/>
      <c r="N57" s="14"/>
    </row>
    <row r="58" spans="1:14" x14ac:dyDescent="0.25">
      <c r="K58" s="16"/>
      <c r="L58" s="16"/>
      <c r="M58" s="16"/>
      <c r="N58" s="16"/>
    </row>
    <row r="59" spans="1:14" x14ac:dyDescent="0.25">
      <c r="K59" s="14"/>
      <c r="L59" s="14"/>
      <c r="M59" s="14"/>
      <c r="N59" s="14"/>
    </row>
    <row r="60" spans="1:14" x14ac:dyDescent="0.25">
      <c r="K60" s="16"/>
      <c r="L60" s="16"/>
      <c r="M60" s="16"/>
      <c r="N60" s="16"/>
    </row>
  </sheetData>
  <autoFilter ref="A2:G50" xr:uid="{828DFD01-9D50-4EA6-A7DD-A0B766D34BA5}">
    <sortState xmlns:xlrd2="http://schemas.microsoft.com/office/spreadsheetml/2017/richdata2" ref="A3:G50">
      <sortCondition ref="A2"/>
    </sortState>
  </autoFilter>
  <mergeCells count="18">
    <mergeCell ref="A1:G1"/>
    <mergeCell ref="J13:J14"/>
    <mergeCell ref="J15:J16"/>
    <mergeCell ref="J17:J18"/>
    <mergeCell ref="J19:J20"/>
    <mergeCell ref="I19:I24"/>
    <mergeCell ref="I25:I30"/>
    <mergeCell ref="I5:N5"/>
    <mergeCell ref="J7:J8"/>
    <mergeCell ref="J9:J10"/>
    <mergeCell ref="J11:J12"/>
    <mergeCell ref="I7:I12"/>
    <mergeCell ref="I13:I18"/>
    <mergeCell ref="J21:J22"/>
    <mergeCell ref="J23:J24"/>
    <mergeCell ref="J25:J26"/>
    <mergeCell ref="J27:J28"/>
    <mergeCell ref="J29:J30"/>
  </mergeCells>
  <phoneticPr fontId="19" type="noConversion"/>
  <conditionalFormatting sqref="E2:E1048576">
    <cfRule type="cellIs" dxfId="23" priority="2" operator="lessThan">
      <formula>0</formula>
    </cfRule>
    <cfRule type="cellIs" dxfId="22" priority="3" operator="greaterThan">
      <formula>0</formula>
    </cfRule>
  </conditionalFormatting>
  <conditionalFormatting sqref="G2:G1048576">
    <cfRule type="cellIs" dxfId="21" priority="1" operator="lessThan">
      <formula>0.05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1E96-17E1-4C28-95A7-3B3EADA10A6C}">
  <dimension ref="A1:N50"/>
  <sheetViews>
    <sheetView tabSelected="1" topLeftCell="A43" workbookViewId="0">
      <selection activeCell="G50" sqref="G50"/>
    </sheetView>
  </sheetViews>
  <sheetFormatPr defaultRowHeight="16.5" x14ac:dyDescent="0.25"/>
  <cols>
    <col min="1" max="2" width="10.625" customWidth="1"/>
    <col min="3" max="3" width="15" customWidth="1"/>
    <col min="5" max="5" width="10.625" customWidth="1"/>
    <col min="6" max="7" width="14" customWidth="1"/>
    <col min="9" max="9" width="7.125" customWidth="1"/>
    <col min="10" max="10" width="15.25" customWidth="1"/>
    <col min="11" max="14" width="11.375" customWidth="1"/>
  </cols>
  <sheetData>
    <row r="1" spans="1:14" x14ac:dyDescent="0.25">
      <c r="A1" s="51" t="s">
        <v>49</v>
      </c>
      <c r="B1" s="51"/>
      <c r="C1" s="51"/>
      <c r="D1" s="51"/>
      <c r="E1" s="51"/>
      <c r="F1" s="51"/>
      <c r="G1" s="51"/>
    </row>
    <row r="2" spans="1:14" x14ac:dyDescent="0.25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</row>
    <row r="3" spans="1:14" x14ac:dyDescent="0.25">
      <c r="A3" s="6">
        <v>3</v>
      </c>
      <c r="B3" s="6">
        <v>3</v>
      </c>
      <c r="C3" s="6" t="s">
        <v>7</v>
      </c>
      <c r="D3" s="6"/>
      <c r="E3" s="11"/>
      <c r="F3" s="9"/>
      <c r="G3" s="9"/>
    </row>
    <row r="4" spans="1:14" x14ac:dyDescent="0.25">
      <c r="A4" s="6">
        <v>3</v>
      </c>
      <c r="B4" s="6">
        <v>3</v>
      </c>
      <c r="C4" s="6" t="s">
        <v>8</v>
      </c>
      <c r="D4" s="6"/>
      <c r="E4" s="11"/>
      <c r="F4" s="9"/>
      <c r="G4" s="9"/>
      <c r="I4" s="41" t="s">
        <v>47</v>
      </c>
      <c r="J4" s="42"/>
      <c r="K4" s="42"/>
      <c r="L4" s="42"/>
      <c r="M4" s="42"/>
      <c r="N4" s="43"/>
    </row>
    <row r="5" spans="1:14" ht="17.25" thickBot="1" x14ac:dyDescent="0.3">
      <c r="A5" s="5">
        <v>3</v>
      </c>
      <c r="B5" s="5">
        <v>3</v>
      </c>
      <c r="C5" s="6" t="s">
        <v>9</v>
      </c>
      <c r="D5" s="6"/>
      <c r="E5" s="11"/>
      <c r="F5" s="9"/>
      <c r="G5" s="9"/>
      <c r="I5" s="24" t="s">
        <v>46</v>
      </c>
      <c r="J5" s="21" t="s">
        <v>45</v>
      </c>
      <c r="K5" s="15">
        <v>3</v>
      </c>
      <c r="L5" s="15">
        <v>6</v>
      </c>
      <c r="M5" s="15">
        <v>9</v>
      </c>
      <c r="N5" s="25">
        <v>12</v>
      </c>
    </row>
    <row r="6" spans="1:14" x14ac:dyDescent="0.25">
      <c r="A6" s="7">
        <v>3</v>
      </c>
      <c r="B6" s="7">
        <v>6</v>
      </c>
      <c r="C6" s="7" t="s">
        <v>7</v>
      </c>
      <c r="D6" s="7"/>
      <c r="E6" s="12"/>
      <c r="F6" s="10"/>
      <c r="G6" s="10"/>
      <c r="I6" s="49">
        <v>3</v>
      </c>
      <c r="J6" s="44" t="s">
        <v>7</v>
      </c>
      <c r="K6" s="14"/>
      <c r="L6" s="14"/>
      <c r="M6" s="14"/>
      <c r="N6" s="26"/>
    </row>
    <row r="7" spans="1:14" x14ac:dyDescent="0.25">
      <c r="A7" s="7">
        <v>3</v>
      </c>
      <c r="B7" s="7">
        <v>6</v>
      </c>
      <c r="C7" s="7" t="s">
        <v>8</v>
      </c>
      <c r="D7" s="7"/>
      <c r="E7" s="12"/>
      <c r="F7" s="10"/>
      <c r="G7" s="10"/>
      <c r="I7" s="38"/>
      <c r="J7" s="45"/>
      <c r="K7" s="66"/>
      <c r="L7" s="66"/>
      <c r="M7" s="66"/>
      <c r="N7" s="67"/>
    </row>
    <row r="8" spans="1:14" x14ac:dyDescent="0.25">
      <c r="A8" s="2">
        <v>3</v>
      </c>
      <c r="B8" s="2">
        <v>6</v>
      </c>
      <c r="C8" s="7" t="s">
        <v>9</v>
      </c>
      <c r="D8" s="7"/>
      <c r="E8" s="12"/>
      <c r="F8" s="10"/>
      <c r="G8" s="10"/>
      <c r="I8" s="38"/>
      <c r="J8" s="46" t="s">
        <v>8</v>
      </c>
      <c r="K8" s="68"/>
      <c r="L8" s="68"/>
      <c r="M8" s="68"/>
      <c r="N8" s="56"/>
    </row>
    <row r="9" spans="1:14" x14ac:dyDescent="0.25">
      <c r="A9" s="6">
        <v>3</v>
      </c>
      <c r="B9" s="6">
        <v>9</v>
      </c>
      <c r="C9" s="6" t="s">
        <v>7</v>
      </c>
      <c r="D9" s="6"/>
      <c r="E9" s="11"/>
      <c r="F9" s="9"/>
      <c r="G9" s="9"/>
      <c r="I9" s="38"/>
      <c r="J9" s="45"/>
      <c r="K9" s="57"/>
      <c r="L9" s="57"/>
      <c r="M9" s="57"/>
      <c r="N9" s="58"/>
    </row>
    <row r="10" spans="1:14" x14ac:dyDescent="0.25">
      <c r="A10" s="6">
        <v>3</v>
      </c>
      <c r="B10" s="6">
        <v>9</v>
      </c>
      <c r="C10" s="6" t="s">
        <v>8</v>
      </c>
      <c r="D10" s="6"/>
      <c r="E10" s="11"/>
      <c r="F10" s="9"/>
      <c r="G10" s="9"/>
      <c r="I10" s="38"/>
      <c r="J10" s="47" t="s">
        <v>9</v>
      </c>
      <c r="K10" s="68"/>
      <c r="L10" s="68"/>
      <c r="M10" s="68"/>
      <c r="N10" s="56"/>
    </row>
    <row r="11" spans="1:14" x14ac:dyDescent="0.25">
      <c r="A11" s="5">
        <v>3</v>
      </c>
      <c r="B11" s="5">
        <v>9</v>
      </c>
      <c r="C11" s="6" t="s">
        <v>9</v>
      </c>
      <c r="D11" s="6"/>
      <c r="E11" s="11"/>
      <c r="F11" s="9"/>
      <c r="G11" s="9"/>
      <c r="I11" s="39"/>
      <c r="J11" s="48"/>
      <c r="K11" s="69"/>
      <c r="L11" s="69"/>
      <c r="M11" s="69"/>
      <c r="N11" s="70"/>
    </row>
    <row r="12" spans="1:14" x14ac:dyDescent="0.25">
      <c r="A12" s="7">
        <v>3</v>
      </c>
      <c r="B12" s="7">
        <v>12</v>
      </c>
      <c r="C12" s="7" t="s">
        <v>7</v>
      </c>
      <c r="D12" s="7"/>
      <c r="E12" s="12"/>
      <c r="F12" s="10"/>
      <c r="G12" s="10"/>
      <c r="I12" s="37">
        <v>6</v>
      </c>
      <c r="J12" s="65" t="s">
        <v>7</v>
      </c>
      <c r="K12" s="68"/>
      <c r="L12" s="68"/>
      <c r="M12" s="68"/>
      <c r="N12" s="56"/>
    </row>
    <row r="13" spans="1:14" x14ac:dyDescent="0.25">
      <c r="A13" s="7">
        <v>3</v>
      </c>
      <c r="B13" s="7">
        <v>12</v>
      </c>
      <c r="C13" s="7" t="s">
        <v>8</v>
      </c>
      <c r="D13" s="7"/>
      <c r="E13" s="12"/>
      <c r="F13" s="10"/>
      <c r="G13" s="10"/>
      <c r="I13" s="38"/>
      <c r="J13" s="45"/>
      <c r="K13" s="66"/>
      <c r="L13" s="66"/>
      <c r="M13" s="66"/>
      <c r="N13" s="67"/>
    </row>
    <row r="14" spans="1:14" x14ac:dyDescent="0.25">
      <c r="A14" s="2">
        <v>3</v>
      </c>
      <c r="B14" s="2">
        <v>12</v>
      </c>
      <c r="C14" s="7" t="s">
        <v>9</v>
      </c>
      <c r="D14" s="7"/>
      <c r="E14" s="12"/>
      <c r="F14" s="10"/>
      <c r="G14" s="10"/>
      <c r="I14" s="38"/>
      <c r="J14" s="46" t="s">
        <v>8</v>
      </c>
      <c r="K14" s="68"/>
      <c r="L14" s="68"/>
      <c r="M14" s="68"/>
      <c r="N14" s="56"/>
    </row>
    <row r="15" spans="1:14" x14ac:dyDescent="0.25">
      <c r="A15" s="6">
        <v>6</v>
      </c>
      <c r="B15" s="6">
        <v>3</v>
      </c>
      <c r="C15" s="6" t="s">
        <v>7</v>
      </c>
      <c r="D15" s="6"/>
      <c r="E15" s="11"/>
      <c r="F15" s="9"/>
      <c r="G15" s="9"/>
      <c r="I15" s="38"/>
      <c r="J15" s="45"/>
      <c r="K15" s="57"/>
      <c r="L15" s="57"/>
      <c r="M15" s="57"/>
      <c r="N15" s="58"/>
    </row>
    <row r="16" spans="1:14" x14ac:dyDescent="0.25">
      <c r="A16" s="6">
        <v>6</v>
      </c>
      <c r="B16" s="6">
        <v>3</v>
      </c>
      <c r="C16" s="6" t="s">
        <v>8</v>
      </c>
      <c r="D16" s="6"/>
      <c r="E16" s="11"/>
      <c r="F16" s="9"/>
      <c r="G16" s="9"/>
      <c r="I16" s="38"/>
      <c r="J16" s="47" t="s">
        <v>9</v>
      </c>
      <c r="K16" s="68"/>
      <c r="L16" s="68"/>
      <c r="M16" s="68"/>
      <c r="N16" s="56"/>
    </row>
    <row r="17" spans="1:14" x14ac:dyDescent="0.25">
      <c r="A17" s="5">
        <v>6</v>
      </c>
      <c r="B17" s="5">
        <v>3</v>
      </c>
      <c r="C17" s="6" t="s">
        <v>9</v>
      </c>
      <c r="D17" s="6"/>
      <c r="E17" s="11"/>
      <c r="F17" s="9"/>
      <c r="G17" s="9"/>
      <c r="I17" s="39"/>
      <c r="J17" s="48"/>
      <c r="K17" s="71"/>
      <c r="L17" s="69"/>
      <c r="M17" s="69"/>
      <c r="N17" s="72"/>
    </row>
    <row r="18" spans="1:14" x14ac:dyDescent="0.25">
      <c r="A18" s="7">
        <v>6</v>
      </c>
      <c r="B18" s="7">
        <v>6</v>
      </c>
      <c r="C18" s="7" t="s">
        <v>7</v>
      </c>
      <c r="D18" s="7"/>
      <c r="E18" s="12"/>
      <c r="F18" s="10"/>
      <c r="G18" s="10"/>
      <c r="I18" s="37">
        <v>9</v>
      </c>
      <c r="J18" s="65" t="s">
        <v>7</v>
      </c>
      <c r="K18" s="68"/>
      <c r="L18" s="68"/>
      <c r="M18" s="68"/>
      <c r="N18" s="56"/>
    </row>
    <row r="19" spans="1:14" x14ac:dyDescent="0.25">
      <c r="A19" s="7">
        <v>6</v>
      </c>
      <c r="B19" s="7">
        <v>6</v>
      </c>
      <c r="C19" s="7" t="s">
        <v>8</v>
      </c>
      <c r="D19" s="7"/>
      <c r="E19" s="12"/>
      <c r="F19" s="10"/>
      <c r="G19" s="10"/>
      <c r="I19" s="38"/>
      <c r="J19" s="45"/>
      <c r="K19" s="66"/>
      <c r="L19" s="66"/>
      <c r="M19" s="66"/>
      <c r="N19" s="67"/>
    </row>
    <row r="20" spans="1:14" x14ac:dyDescent="0.25">
      <c r="A20" s="2">
        <v>6</v>
      </c>
      <c r="B20" s="2">
        <v>6</v>
      </c>
      <c r="C20" s="7" t="s">
        <v>9</v>
      </c>
      <c r="D20" s="7"/>
      <c r="E20" s="12"/>
      <c r="F20" s="10"/>
      <c r="G20" s="10"/>
      <c r="I20" s="38"/>
      <c r="J20" s="46" t="s">
        <v>8</v>
      </c>
      <c r="K20" s="68"/>
      <c r="L20" s="68"/>
      <c r="M20" s="68"/>
      <c r="N20" s="56"/>
    </row>
    <row r="21" spans="1:14" x14ac:dyDescent="0.25">
      <c r="A21" s="6">
        <v>6</v>
      </c>
      <c r="B21" s="6">
        <v>9</v>
      </c>
      <c r="C21" s="6" t="s">
        <v>7</v>
      </c>
      <c r="D21" s="6"/>
      <c r="E21" s="11"/>
      <c r="F21" s="9"/>
      <c r="G21" s="9"/>
      <c r="I21" s="38"/>
      <c r="J21" s="45"/>
      <c r="K21" s="57"/>
      <c r="L21" s="57"/>
      <c r="M21" s="57"/>
      <c r="N21" s="58"/>
    </row>
    <row r="22" spans="1:14" x14ac:dyDescent="0.25">
      <c r="A22" s="6">
        <v>6</v>
      </c>
      <c r="B22" s="6">
        <v>9</v>
      </c>
      <c r="C22" s="6" t="s">
        <v>8</v>
      </c>
      <c r="D22" s="6"/>
      <c r="E22" s="11"/>
      <c r="F22" s="9"/>
      <c r="G22" s="9"/>
      <c r="I22" s="38"/>
      <c r="J22" s="47" t="s">
        <v>9</v>
      </c>
      <c r="K22" s="68"/>
      <c r="L22" s="68"/>
      <c r="M22" s="68"/>
      <c r="N22" s="56"/>
    </row>
    <row r="23" spans="1:14" x14ac:dyDescent="0.25">
      <c r="A23" s="5">
        <v>6</v>
      </c>
      <c r="B23" s="5">
        <v>9</v>
      </c>
      <c r="C23" s="6" t="s">
        <v>9</v>
      </c>
      <c r="D23" s="6"/>
      <c r="E23" s="11"/>
      <c r="F23" s="9"/>
      <c r="G23" s="9"/>
      <c r="I23" s="39"/>
      <c r="J23" s="48"/>
      <c r="K23" s="71"/>
      <c r="L23" s="69"/>
      <c r="M23" s="69"/>
      <c r="N23" s="72"/>
    </row>
    <row r="24" spans="1:14" x14ac:dyDescent="0.25">
      <c r="A24" s="7">
        <v>6</v>
      </c>
      <c r="B24" s="7">
        <v>12</v>
      </c>
      <c r="C24" s="7" t="s">
        <v>7</v>
      </c>
      <c r="D24" s="7"/>
      <c r="E24" s="12"/>
      <c r="F24" s="10"/>
      <c r="G24" s="10"/>
      <c r="I24" s="37">
        <v>12</v>
      </c>
      <c r="J24" s="65" t="s">
        <v>7</v>
      </c>
      <c r="K24" s="68"/>
      <c r="L24" s="68"/>
      <c r="M24" s="68"/>
      <c r="N24" s="56"/>
    </row>
    <row r="25" spans="1:14" x14ac:dyDescent="0.25">
      <c r="A25" s="7">
        <v>6</v>
      </c>
      <c r="B25" s="7">
        <v>12</v>
      </c>
      <c r="C25" s="7" t="s">
        <v>8</v>
      </c>
      <c r="D25" s="7"/>
      <c r="E25" s="12"/>
      <c r="F25" s="10"/>
      <c r="G25" s="10"/>
      <c r="I25" s="38"/>
      <c r="J25" s="45"/>
      <c r="K25" s="66"/>
      <c r="L25" s="66"/>
      <c r="M25" s="66"/>
      <c r="N25" s="73"/>
    </row>
    <row r="26" spans="1:14" x14ac:dyDescent="0.25">
      <c r="A26" s="7">
        <v>6</v>
      </c>
      <c r="B26" s="7">
        <v>12</v>
      </c>
      <c r="C26" s="7" t="s">
        <v>9</v>
      </c>
      <c r="D26" s="7"/>
      <c r="E26" s="12"/>
      <c r="F26" s="10"/>
      <c r="G26" s="10"/>
      <c r="I26" s="38"/>
      <c r="J26" s="46" t="s">
        <v>8</v>
      </c>
      <c r="K26" s="68"/>
      <c r="L26" s="68"/>
      <c r="M26" s="68"/>
      <c r="N26" s="56"/>
    </row>
    <row r="27" spans="1:14" x14ac:dyDescent="0.25">
      <c r="A27" s="6">
        <v>9</v>
      </c>
      <c r="B27" s="6">
        <v>3</v>
      </c>
      <c r="C27" s="6" t="s">
        <v>7</v>
      </c>
      <c r="D27" s="6"/>
      <c r="E27" s="11"/>
      <c r="F27" s="9"/>
      <c r="G27" s="9"/>
      <c r="I27" s="38"/>
      <c r="J27" s="45"/>
      <c r="K27" s="66"/>
      <c r="L27" s="66"/>
      <c r="M27" s="66"/>
      <c r="N27" s="73"/>
    </row>
    <row r="28" spans="1:14" x14ac:dyDescent="0.25">
      <c r="A28" s="6">
        <v>9</v>
      </c>
      <c r="B28" s="6">
        <v>3</v>
      </c>
      <c r="C28" s="6" t="s">
        <v>8</v>
      </c>
      <c r="D28" s="6"/>
      <c r="E28" s="11"/>
      <c r="F28" s="9"/>
      <c r="G28" s="9"/>
      <c r="I28" s="38"/>
      <c r="J28" s="47" t="s">
        <v>9</v>
      </c>
      <c r="K28" s="68"/>
      <c r="L28" s="68"/>
      <c r="M28" s="68"/>
      <c r="N28" s="56"/>
    </row>
    <row r="29" spans="1:14" x14ac:dyDescent="0.25">
      <c r="A29" s="5">
        <v>9</v>
      </c>
      <c r="B29" s="5">
        <v>3</v>
      </c>
      <c r="C29" s="6" t="s">
        <v>9</v>
      </c>
      <c r="D29" s="6"/>
      <c r="E29" s="11"/>
      <c r="F29" s="9"/>
      <c r="G29" s="9"/>
      <c r="I29" s="40"/>
      <c r="J29" s="48"/>
      <c r="K29" s="34"/>
      <c r="L29" s="35"/>
      <c r="M29" s="35"/>
      <c r="N29" s="36"/>
    </row>
    <row r="30" spans="1:14" x14ac:dyDescent="0.25">
      <c r="A30" s="7">
        <v>9</v>
      </c>
      <c r="B30" s="7">
        <v>6</v>
      </c>
      <c r="C30" s="7" t="s">
        <v>7</v>
      </c>
      <c r="D30" s="7"/>
      <c r="E30" s="12"/>
      <c r="F30" s="10"/>
      <c r="G30" s="10"/>
    </row>
    <row r="31" spans="1:14" x14ac:dyDescent="0.25">
      <c r="A31" s="7">
        <v>9</v>
      </c>
      <c r="B31" s="7">
        <v>6</v>
      </c>
      <c r="C31" s="7" t="s">
        <v>8</v>
      </c>
      <c r="D31" s="7"/>
      <c r="E31" s="12"/>
      <c r="F31" s="10"/>
      <c r="G31" s="10"/>
    </row>
    <row r="32" spans="1:14" x14ac:dyDescent="0.25">
      <c r="A32" s="2">
        <v>9</v>
      </c>
      <c r="B32" s="2">
        <v>6</v>
      </c>
      <c r="C32" s="7" t="s">
        <v>9</v>
      </c>
      <c r="D32" s="7"/>
      <c r="E32" s="12"/>
      <c r="F32" s="10"/>
      <c r="G32" s="10"/>
    </row>
    <row r="33" spans="1:7" x14ac:dyDescent="0.25">
      <c r="A33" s="6">
        <v>9</v>
      </c>
      <c r="B33" s="6">
        <v>9</v>
      </c>
      <c r="C33" s="6" t="s">
        <v>7</v>
      </c>
      <c r="D33" s="6"/>
      <c r="E33" s="11"/>
      <c r="F33" s="9"/>
      <c r="G33" s="9"/>
    </row>
    <row r="34" spans="1:7" x14ac:dyDescent="0.25">
      <c r="A34" s="6">
        <v>9</v>
      </c>
      <c r="B34" s="6">
        <v>9</v>
      </c>
      <c r="C34" s="6" t="s">
        <v>8</v>
      </c>
      <c r="D34" s="6"/>
      <c r="E34" s="11"/>
      <c r="F34" s="9"/>
      <c r="G34" s="9"/>
    </row>
    <row r="35" spans="1:7" x14ac:dyDescent="0.25">
      <c r="A35" s="5">
        <v>9</v>
      </c>
      <c r="B35" s="5">
        <v>9</v>
      </c>
      <c r="C35" s="6" t="s">
        <v>9</v>
      </c>
      <c r="D35" s="6"/>
      <c r="E35" s="11"/>
      <c r="F35" s="9"/>
      <c r="G35" s="9"/>
    </row>
    <row r="36" spans="1:7" x14ac:dyDescent="0.25">
      <c r="A36" s="7">
        <v>9</v>
      </c>
      <c r="B36" s="7">
        <v>12</v>
      </c>
      <c r="C36" s="7" t="s">
        <v>7</v>
      </c>
      <c r="D36" s="7"/>
      <c r="E36" s="12"/>
      <c r="F36" s="10"/>
      <c r="G36" s="10"/>
    </row>
    <row r="37" spans="1:7" x14ac:dyDescent="0.25">
      <c r="A37" s="7">
        <v>9</v>
      </c>
      <c r="B37" s="7">
        <v>12</v>
      </c>
      <c r="C37" s="7" t="s">
        <v>8</v>
      </c>
      <c r="D37" s="7"/>
      <c r="E37" s="12"/>
      <c r="F37" s="10"/>
      <c r="G37" s="10"/>
    </row>
    <row r="38" spans="1:7" x14ac:dyDescent="0.25">
      <c r="A38" s="7">
        <v>9</v>
      </c>
      <c r="B38" s="7">
        <v>12</v>
      </c>
      <c r="C38" s="7" t="s">
        <v>9</v>
      </c>
      <c r="D38" s="7"/>
      <c r="E38" s="12"/>
      <c r="F38" s="10"/>
      <c r="G38" s="10"/>
    </row>
    <row r="39" spans="1:7" x14ac:dyDescent="0.25">
      <c r="A39" s="6">
        <v>12</v>
      </c>
      <c r="B39" s="6">
        <v>3</v>
      </c>
      <c r="C39" s="6" t="s">
        <v>7</v>
      </c>
      <c r="D39" s="6"/>
      <c r="E39" s="11"/>
      <c r="F39" s="9"/>
      <c r="G39" s="9"/>
    </row>
    <row r="40" spans="1:7" x14ac:dyDescent="0.25">
      <c r="A40" s="6">
        <v>12</v>
      </c>
      <c r="B40" s="6">
        <v>3</v>
      </c>
      <c r="C40" s="6" t="s">
        <v>8</v>
      </c>
      <c r="D40" s="6"/>
      <c r="E40" s="11"/>
      <c r="F40" s="9"/>
      <c r="G40" s="9"/>
    </row>
    <row r="41" spans="1:7" x14ac:dyDescent="0.25">
      <c r="A41" s="5">
        <v>12</v>
      </c>
      <c r="B41" s="5">
        <v>3</v>
      </c>
      <c r="C41" s="6" t="s">
        <v>9</v>
      </c>
      <c r="D41" s="6"/>
      <c r="E41" s="11"/>
      <c r="F41" s="9"/>
      <c r="G41" s="9"/>
    </row>
    <row r="42" spans="1:7" x14ac:dyDescent="0.25">
      <c r="A42" s="7">
        <v>12</v>
      </c>
      <c r="B42" s="7">
        <v>6</v>
      </c>
      <c r="C42" s="7" t="s">
        <v>7</v>
      </c>
      <c r="D42" s="7"/>
      <c r="E42" s="12"/>
      <c r="F42" s="10"/>
      <c r="G42" s="10"/>
    </row>
    <row r="43" spans="1:7" x14ac:dyDescent="0.25">
      <c r="A43" s="7">
        <v>12</v>
      </c>
      <c r="B43" s="7">
        <v>6</v>
      </c>
      <c r="C43" s="7" t="s">
        <v>8</v>
      </c>
      <c r="D43" s="7"/>
      <c r="E43" s="12"/>
      <c r="F43" s="10"/>
      <c r="G43" s="10"/>
    </row>
    <row r="44" spans="1:7" x14ac:dyDescent="0.25">
      <c r="A44" s="7">
        <v>12</v>
      </c>
      <c r="B44" s="7">
        <v>6</v>
      </c>
      <c r="C44" s="7" t="s">
        <v>9</v>
      </c>
      <c r="D44" s="7"/>
      <c r="E44" s="12"/>
      <c r="F44" s="10"/>
      <c r="G44" s="10"/>
    </row>
    <row r="45" spans="1:7" x14ac:dyDescent="0.25">
      <c r="A45" s="6">
        <v>12</v>
      </c>
      <c r="B45" s="6">
        <v>9</v>
      </c>
      <c r="C45" s="6" t="s">
        <v>7</v>
      </c>
      <c r="D45" s="6"/>
      <c r="E45" s="11"/>
      <c r="F45" s="9"/>
      <c r="G45" s="9"/>
    </row>
    <row r="46" spans="1:7" x14ac:dyDescent="0.25">
      <c r="A46" s="6">
        <v>12</v>
      </c>
      <c r="B46" s="6">
        <v>9</v>
      </c>
      <c r="C46" s="6" t="s">
        <v>8</v>
      </c>
      <c r="D46" s="6"/>
      <c r="E46" s="11"/>
      <c r="F46" s="9"/>
      <c r="G46" s="9"/>
    </row>
    <row r="47" spans="1:7" x14ac:dyDescent="0.25">
      <c r="A47" s="6">
        <v>12</v>
      </c>
      <c r="B47" s="6">
        <v>9</v>
      </c>
      <c r="C47" s="6" t="s">
        <v>9</v>
      </c>
      <c r="D47" s="6"/>
      <c r="E47" s="11"/>
      <c r="F47" s="9"/>
      <c r="G47" s="9"/>
    </row>
    <row r="48" spans="1:7" x14ac:dyDescent="0.25">
      <c r="A48" s="7">
        <v>12</v>
      </c>
      <c r="B48" s="7">
        <v>12</v>
      </c>
      <c r="C48" s="7" t="s">
        <v>7</v>
      </c>
      <c r="D48" s="7"/>
      <c r="E48" s="12"/>
      <c r="F48" s="10"/>
      <c r="G48" s="10"/>
    </row>
    <row r="49" spans="1:7" x14ac:dyDescent="0.25">
      <c r="A49" s="7">
        <v>12</v>
      </c>
      <c r="B49" s="7">
        <v>12</v>
      </c>
      <c r="C49" s="7" t="s">
        <v>8</v>
      </c>
      <c r="D49" s="7"/>
      <c r="E49" s="12"/>
      <c r="F49" s="10"/>
      <c r="G49" s="10"/>
    </row>
    <row r="50" spans="1:7" x14ac:dyDescent="0.25">
      <c r="A50" s="7">
        <v>12</v>
      </c>
      <c r="B50" s="7">
        <v>12</v>
      </c>
      <c r="C50" s="7" t="s">
        <v>9</v>
      </c>
      <c r="D50" s="7"/>
      <c r="E50" s="12"/>
      <c r="F50" s="10"/>
      <c r="G50" s="10"/>
    </row>
  </sheetData>
  <mergeCells count="18">
    <mergeCell ref="I24:I29"/>
    <mergeCell ref="J24:J25"/>
    <mergeCell ref="J26:J27"/>
    <mergeCell ref="J28:J29"/>
    <mergeCell ref="I12:I17"/>
    <mergeCell ref="J12:J13"/>
    <mergeCell ref="J14:J15"/>
    <mergeCell ref="J16:J17"/>
    <mergeCell ref="I18:I23"/>
    <mergeCell ref="J18:J19"/>
    <mergeCell ref="J20:J21"/>
    <mergeCell ref="J22:J23"/>
    <mergeCell ref="A1:G1"/>
    <mergeCell ref="I4:N4"/>
    <mergeCell ref="I6:I11"/>
    <mergeCell ref="J6:J7"/>
    <mergeCell ref="J8:J9"/>
    <mergeCell ref="J10:J11"/>
  </mergeCells>
  <phoneticPr fontId="19" type="noConversion"/>
  <conditionalFormatting sqref="E2">
    <cfRule type="cellIs" dxfId="20" priority="11" operator="lessThan">
      <formula>0</formula>
    </cfRule>
    <cfRule type="cellIs" dxfId="19" priority="12" operator="greaterThan">
      <formula>0</formula>
    </cfRule>
  </conditionalFormatting>
  <conditionalFormatting sqref="G2">
    <cfRule type="cellIs" dxfId="18" priority="10" operator="lessThan">
      <formula>0.05</formula>
    </cfRule>
  </conditionalFormatting>
  <conditionalFormatting sqref="E3:E50">
    <cfRule type="cellIs" dxfId="2" priority="2" operator="lessThan">
      <formula>0</formula>
    </cfRule>
    <cfRule type="cellIs" dxfId="1" priority="3" operator="greaterThan">
      <formula>0</formula>
    </cfRule>
  </conditionalFormatting>
  <conditionalFormatting sqref="G3:G5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12766-CA57-4195-AB5D-D953190D2612}">
  <dimension ref="A1:N30"/>
  <sheetViews>
    <sheetView zoomScaleNormal="100" workbookViewId="0">
      <selection activeCell="G18" sqref="G18"/>
    </sheetView>
  </sheetViews>
  <sheetFormatPr defaultRowHeight="16.5" x14ac:dyDescent="0.25"/>
  <cols>
    <col min="3" max="3" width="13.375" customWidth="1"/>
    <col min="6" max="6" width="9.75" customWidth="1"/>
    <col min="7" max="7" width="10.75" customWidth="1"/>
    <col min="8" max="8" width="2.75" customWidth="1"/>
    <col min="9" max="9" width="7.25" customWidth="1"/>
    <col min="10" max="10" width="14.875" customWidth="1"/>
    <col min="11" max="14" width="12.25" customWidth="1"/>
  </cols>
  <sheetData>
    <row r="1" spans="1:14" x14ac:dyDescent="0.25">
      <c r="A1" s="51" t="s">
        <v>48</v>
      </c>
      <c r="B1" s="51"/>
      <c r="C1" s="51"/>
      <c r="D1" s="51"/>
      <c r="E1" s="51"/>
      <c r="F1" s="51"/>
      <c r="G1" s="51"/>
    </row>
    <row r="2" spans="1:14" x14ac:dyDescent="0.25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I2" s="64" t="s">
        <v>47</v>
      </c>
      <c r="J2" s="64"/>
      <c r="K2" s="64"/>
      <c r="L2" s="64"/>
      <c r="M2" s="64"/>
      <c r="N2" s="64"/>
    </row>
    <row r="3" spans="1:14" ht="17.25" thickBot="1" x14ac:dyDescent="0.3">
      <c r="A3" s="6">
        <v>3</v>
      </c>
      <c r="B3" s="6">
        <v>3</v>
      </c>
      <c r="C3" s="6" t="s">
        <v>7</v>
      </c>
      <c r="D3" s="6">
        <v>114</v>
      </c>
      <c r="E3" s="11">
        <v>1.2676155267131099E-3</v>
      </c>
      <c r="F3" s="9">
        <v>0.127652013401201</v>
      </c>
      <c r="G3" s="9">
        <v>0.89865125913546695</v>
      </c>
      <c r="I3" s="52" t="s">
        <v>46</v>
      </c>
      <c r="J3" s="53" t="s">
        <v>45</v>
      </c>
      <c r="K3" s="59">
        <v>3</v>
      </c>
      <c r="L3" s="59">
        <v>6</v>
      </c>
      <c r="M3" s="59">
        <v>9</v>
      </c>
      <c r="N3" s="60">
        <v>12</v>
      </c>
    </row>
    <row r="4" spans="1:14" x14ac:dyDescent="0.25">
      <c r="A4" s="6">
        <v>3</v>
      </c>
      <c r="B4" s="6">
        <v>3</v>
      </c>
      <c r="C4" s="6" t="s">
        <v>8</v>
      </c>
      <c r="D4" s="6">
        <v>114</v>
      </c>
      <c r="E4" s="11">
        <v>2.4591457834495602E-2</v>
      </c>
      <c r="F4" s="9">
        <v>2.9832338535301401</v>
      </c>
      <c r="G4" s="9">
        <v>3.4952799955571198E-3</v>
      </c>
      <c r="I4" s="61">
        <v>3</v>
      </c>
      <c r="J4" s="44" t="s">
        <v>7</v>
      </c>
      <c r="K4" s="54">
        <f>E3</f>
        <v>1.2676155267131099E-3</v>
      </c>
      <c r="L4" s="54">
        <f>E6</f>
        <v>-2.2454643896498601E-3</v>
      </c>
      <c r="M4" s="54">
        <f>E9</f>
        <v>-4.9802207879865498E-3</v>
      </c>
      <c r="N4" s="26">
        <f>E12</f>
        <v>3.1250864080159101E-4</v>
      </c>
    </row>
    <row r="5" spans="1:14" x14ac:dyDescent="0.25">
      <c r="A5" s="5">
        <v>3</v>
      </c>
      <c r="B5" s="5">
        <v>3</v>
      </c>
      <c r="C5" s="6" t="s">
        <v>9</v>
      </c>
      <c r="D5" s="6">
        <v>114</v>
      </c>
      <c r="E5" s="11">
        <v>2.3323842307782498E-2</v>
      </c>
      <c r="F5" s="9">
        <v>3.6673643552384498</v>
      </c>
      <c r="G5" s="9">
        <v>3.7518090649497199E-4</v>
      </c>
      <c r="I5" s="62"/>
      <c r="J5" s="45"/>
      <c r="K5" s="20">
        <f>F3</f>
        <v>0.127652013401201</v>
      </c>
      <c r="L5" s="20">
        <f>F6</f>
        <v>-0.19245858023207699</v>
      </c>
      <c r="M5" s="20">
        <f>F9</f>
        <v>-0.38114629758028701</v>
      </c>
      <c r="N5" s="27">
        <f>F12</f>
        <v>1.9490597473919499E-2</v>
      </c>
    </row>
    <row r="6" spans="1:14" x14ac:dyDescent="0.25">
      <c r="A6" s="7">
        <v>3</v>
      </c>
      <c r="B6" s="7">
        <v>6</v>
      </c>
      <c r="C6" s="7" t="s">
        <v>7</v>
      </c>
      <c r="D6" s="7">
        <v>111</v>
      </c>
      <c r="E6" s="12">
        <v>-2.2454643896498601E-3</v>
      </c>
      <c r="F6" s="10">
        <v>-0.19245858023207699</v>
      </c>
      <c r="G6" s="10">
        <v>0.84773787571883197</v>
      </c>
      <c r="I6" s="62"/>
      <c r="J6" s="46" t="s">
        <v>8</v>
      </c>
      <c r="K6" s="55">
        <f>E4</f>
        <v>2.4591457834495602E-2</v>
      </c>
      <c r="L6" s="55">
        <f>E7</f>
        <v>4.6514485130783302E-2</v>
      </c>
      <c r="M6" s="55">
        <f>E10</f>
        <v>6.2453828535481599E-2</v>
      </c>
      <c r="N6" s="29">
        <f>E12</f>
        <v>3.1250864080159101E-4</v>
      </c>
    </row>
    <row r="7" spans="1:14" x14ac:dyDescent="0.25">
      <c r="A7" s="7">
        <v>3</v>
      </c>
      <c r="B7" s="7">
        <v>6</v>
      </c>
      <c r="C7" s="7" t="s">
        <v>8</v>
      </c>
      <c r="D7" s="7">
        <v>111</v>
      </c>
      <c r="E7" s="12">
        <v>4.6514485130783302E-2</v>
      </c>
      <c r="F7" s="10">
        <v>3.8905337675188099</v>
      </c>
      <c r="G7" s="10">
        <v>1.7170331339624899E-4</v>
      </c>
      <c r="I7" s="62"/>
      <c r="J7" s="45"/>
      <c r="K7" s="57">
        <f>F4</f>
        <v>2.9832338535301401</v>
      </c>
      <c r="L7" s="57">
        <f>F7</f>
        <v>3.8905337675188099</v>
      </c>
      <c r="M7" s="57">
        <f>F10</f>
        <v>4.20880434785182</v>
      </c>
      <c r="N7" s="58">
        <f>F13</f>
        <v>3.7415387914354601</v>
      </c>
    </row>
    <row r="8" spans="1:14" x14ac:dyDescent="0.25">
      <c r="A8" s="2">
        <v>3</v>
      </c>
      <c r="B8" s="2">
        <v>6</v>
      </c>
      <c r="C8" s="7" t="s">
        <v>9</v>
      </c>
      <c r="D8" s="7">
        <v>111</v>
      </c>
      <c r="E8" s="12">
        <v>4.8759949520433103E-2</v>
      </c>
      <c r="F8" s="10">
        <v>7.1727799005828103</v>
      </c>
      <c r="G8" s="10">
        <v>9.0227491087471003E-11</v>
      </c>
      <c r="I8" s="62"/>
      <c r="J8" s="47" t="s">
        <v>9</v>
      </c>
      <c r="K8" s="55">
        <f>E5</f>
        <v>2.3323842307782498E-2</v>
      </c>
      <c r="L8" s="55">
        <f>E8</f>
        <v>4.8759949520433103E-2</v>
      </c>
      <c r="M8" s="55">
        <f>E11</f>
        <v>6.7434049323468095E-2</v>
      </c>
      <c r="N8" s="29">
        <f>E12</f>
        <v>3.1250864080159101E-4</v>
      </c>
    </row>
    <row r="9" spans="1:14" x14ac:dyDescent="0.25">
      <c r="A9" s="6">
        <v>3</v>
      </c>
      <c r="B9" s="6">
        <v>9</v>
      </c>
      <c r="C9" s="6" t="s">
        <v>7</v>
      </c>
      <c r="D9" s="6">
        <v>108</v>
      </c>
      <c r="E9" s="11">
        <v>-4.9802207879865498E-3</v>
      </c>
      <c r="F9" s="9">
        <v>-0.38114629758028701</v>
      </c>
      <c r="G9" s="9">
        <v>0.70385043948405301</v>
      </c>
      <c r="I9" s="63"/>
      <c r="J9" s="48"/>
      <c r="K9" s="23">
        <f>F5</f>
        <v>3.6673643552384498</v>
      </c>
      <c r="L9" s="23">
        <f>F8</f>
        <v>7.1727799005828103</v>
      </c>
      <c r="M9" s="23">
        <f>F11</f>
        <v>8.6905835945024705</v>
      </c>
      <c r="N9" s="31">
        <f>F14</f>
        <v>7.0267777188403997</v>
      </c>
    </row>
    <row r="10" spans="1:14" x14ac:dyDescent="0.25">
      <c r="A10" s="6">
        <v>3</v>
      </c>
      <c r="B10" s="6">
        <v>9</v>
      </c>
      <c r="C10" s="6" t="s">
        <v>8</v>
      </c>
      <c r="D10" s="6">
        <v>108</v>
      </c>
      <c r="E10" s="11">
        <v>6.2453828535481599E-2</v>
      </c>
      <c r="F10" s="9">
        <v>4.20880434785182</v>
      </c>
      <c r="G10" s="9">
        <v>5.3598713981954997E-5</v>
      </c>
    </row>
    <row r="11" spans="1:14" x14ac:dyDescent="0.25">
      <c r="A11" s="5">
        <v>3</v>
      </c>
      <c r="B11" s="5">
        <v>9</v>
      </c>
      <c r="C11" s="6" t="s">
        <v>9</v>
      </c>
      <c r="D11" s="6">
        <v>108</v>
      </c>
      <c r="E11" s="11">
        <v>6.7434049323468095E-2</v>
      </c>
      <c r="F11" s="9">
        <v>8.6905835945024705</v>
      </c>
      <c r="G11" s="9">
        <v>4.6078621241686099E-14</v>
      </c>
    </row>
    <row r="12" spans="1:14" x14ac:dyDescent="0.25">
      <c r="A12" s="7">
        <v>3</v>
      </c>
      <c r="B12" s="7">
        <v>12</v>
      </c>
      <c r="C12" s="7" t="s">
        <v>7</v>
      </c>
      <c r="D12" s="7">
        <v>105</v>
      </c>
      <c r="E12" s="12">
        <v>3.1250864080159101E-4</v>
      </c>
      <c r="F12" s="10">
        <v>1.9490597473919499E-2</v>
      </c>
      <c r="G12" s="10">
        <v>0.98448708216231096</v>
      </c>
    </row>
    <row r="13" spans="1:14" x14ac:dyDescent="0.25">
      <c r="A13" s="7">
        <v>3</v>
      </c>
      <c r="B13" s="7">
        <v>12</v>
      </c>
      <c r="C13" s="7" t="s">
        <v>8</v>
      </c>
      <c r="D13" s="7">
        <v>105</v>
      </c>
      <c r="E13" s="12">
        <v>6.6481726661294302E-2</v>
      </c>
      <c r="F13" s="10">
        <v>3.7415387914354601</v>
      </c>
      <c r="G13" s="10">
        <v>2.9983269664811098E-4</v>
      </c>
    </row>
    <row r="14" spans="1:14" x14ac:dyDescent="0.25">
      <c r="A14" s="2">
        <v>3</v>
      </c>
      <c r="B14" s="2">
        <v>12</v>
      </c>
      <c r="C14" s="7" t="s">
        <v>9</v>
      </c>
      <c r="D14" s="7">
        <v>105</v>
      </c>
      <c r="E14" s="12">
        <v>6.6169218020492707E-2</v>
      </c>
      <c r="F14" s="10">
        <v>7.0267777188403997</v>
      </c>
      <c r="G14" s="10">
        <v>2.2733299034642299E-10</v>
      </c>
    </row>
    <row r="15" spans="1:14" x14ac:dyDescent="0.25">
      <c r="A15" s="50"/>
    </row>
    <row r="16" spans="1:14" x14ac:dyDescent="0.25">
      <c r="A16" s="50"/>
    </row>
    <row r="17" spans="1:14" x14ac:dyDescent="0.25">
      <c r="A17" s="51" t="s">
        <v>49</v>
      </c>
      <c r="B17" s="51"/>
      <c r="C17" s="51"/>
      <c r="D17" s="51"/>
      <c r="E17" s="51"/>
      <c r="F17" s="51"/>
      <c r="G17" s="51"/>
    </row>
    <row r="18" spans="1:14" x14ac:dyDescent="0.25">
      <c r="A18" s="3" t="s">
        <v>5</v>
      </c>
      <c r="B18" s="3" t="s">
        <v>6</v>
      </c>
      <c r="C18" s="3" t="s">
        <v>0</v>
      </c>
      <c r="D18" s="3" t="s">
        <v>1</v>
      </c>
      <c r="E18" s="4" t="s">
        <v>2</v>
      </c>
      <c r="F18" s="3" t="s">
        <v>3</v>
      </c>
      <c r="G18" s="3" t="s">
        <v>4</v>
      </c>
      <c r="I18" s="64" t="s">
        <v>47</v>
      </c>
      <c r="J18" s="64"/>
      <c r="K18" s="64"/>
      <c r="L18" s="64"/>
      <c r="M18" s="64"/>
      <c r="N18" s="64"/>
    </row>
    <row r="19" spans="1:14" ht="17.25" thickBot="1" x14ac:dyDescent="0.3">
      <c r="A19" s="6">
        <v>3</v>
      </c>
      <c r="B19" s="6">
        <v>3</v>
      </c>
      <c r="C19" s="6" t="s">
        <v>7</v>
      </c>
      <c r="D19" s="6">
        <v>174</v>
      </c>
      <c r="E19" s="11">
        <v>8.9648117847710498E-3</v>
      </c>
      <c r="F19" s="9">
        <v>1.1263240230215701</v>
      </c>
      <c r="G19" s="9">
        <v>0.26158835276995202</v>
      </c>
      <c r="I19" s="52" t="s">
        <v>46</v>
      </c>
      <c r="J19" s="53" t="s">
        <v>45</v>
      </c>
      <c r="K19" s="59">
        <v>3</v>
      </c>
      <c r="L19" s="59">
        <v>6</v>
      </c>
      <c r="M19" s="59">
        <v>9</v>
      </c>
      <c r="N19" s="60">
        <v>12</v>
      </c>
    </row>
    <row r="20" spans="1:14" x14ac:dyDescent="0.25">
      <c r="A20" s="6">
        <v>3</v>
      </c>
      <c r="B20" s="6">
        <v>3</v>
      </c>
      <c r="C20" s="6" t="s">
        <v>8</v>
      </c>
      <c r="D20" s="6">
        <v>174</v>
      </c>
      <c r="E20" s="11">
        <v>3.6456284904080198E-2</v>
      </c>
      <c r="F20" s="9">
        <v>4.9316087626070901</v>
      </c>
      <c r="G20" s="9">
        <v>1.9022683024534E-6</v>
      </c>
      <c r="I20" s="61">
        <v>3</v>
      </c>
      <c r="J20" s="44" t="s">
        <v>7</v>
      </c>
      <c r="K20" s="54">
        <f>E19</f>
        <v>8.9648117847710498E-3</v>
      </c>
      <c r="L20" s="54">
        <f>E22</f>
        <v>1.9186431825705601E-2</v>
      </c>
      <c r="M20" s="54">
        <f>E25</f>
        <v>3.1641119197947001E-2</v>
      </c>
      <c r="N20" s="26">
        <f>E28</f>
        <v>5.52136466982436E-2</v>
      </c>
    </row>
    <row r="21" spans="1:14" x14ac:dyDescent="0.25">
      <c r="A21" s="5">
        <v>3</v>
      </c>
      <c r="B21" s="5">
        <v>3</v>
      </c>
      <c r="C21" s="6" t="s">
        <v>9</v>
      </c>
      <c r="D21" s="6">
        <v>174</v>
      </c>
      <c r="E21" s="11">
        <v>2.74914731193092E-2</v>
      </c>
      <c r="F21" s="9">
        <v>5.48900911918963</v>
      </c>
      <c r="G21" s="9">
        <v>1.41941805723813E-7</v>
      </c>
      <c r="I21" s="62"/>
      <c r="J21" s="45"/>
      <c r="K21" s="20">
        <f>F19</f>
        <v>1.1263240230215701</v>
      </c>
      <c r="L21" s="20">
        <f>F22</f>
        <v>1.9343605558016199</v>
      </c>
      <c r="M21" s="20">
        <f>F25</f>
        <v>2.60146713298073</v>
      </c>
      <c r="N21" s="27">
        <f>F28</f>
        <v>3.6216418290305401</v>
      </c>
    </row>
    <row r="22" spans="1:14" x14ac:dyDescent="0.25">
      <c r="A22" s="7">
        <v>3</v>
      </c>
      <c r="B22" s="7">
        <v>6</v>
      </c>
      <c r="C22" s="7" t="s">
        <v>7</v>
      </c>
      <c r="D22" s="7">
        <v>171</v>
      </c>
      <c r="E22" s="12">
        <v>1.9186431825705601E-2</v>
      </c>
      <c r="F22" s="10">
        <v>1.9343605558016199</v>
      </c>
      <c r="G22" s="10">
        <v>5.4729223964147297E-2</v>
      </c>
      <c r="I22" s="62"/>
      <c r="J22" s="46" t="s">
        <v>8</v>
      </c>
      <c r="K22" s="55">
        <f>E20</f>
        <v>3.6456284904080198E-2</v>
      </c>
      <c r="L22" s="55">
        <f>E23</f>
        <v>7.1496430351053006E-2</v>
      </c>
      <c r="M22" s="55">
        <f>E26</f>
        <v>9.9917898969015498E-2</v>
      </c>
      <c r="N22" s="29">
        <f>E29</f>
        <v>0.119470995092858</v>
      </c>
    </row>
    <row r="23" spans="1:14" x14ac:dyDescent="0.25">
      <c r="A23" s="7">
        <v>3</v>
      </c>
      <c r="B23" s="7">
        <v>6</v>
      </c>
      <c r="C23" s="7" t="s">
        <v>8</v>
      </c>
      <c r="D23" s="7">
        <v>171</v>
      </c>
      <c r="E23" s="12">
        <v>7.1496430351053006E-2</v>
      </c>
      <c r="F23" s="10">
        <v>6.7041206290680799</v>
      </c>
      <c r="G23" s="10">
        <v>2.8649193162989599E-10</v>
      </c>
      <c r="I23" s="62"/>
      <c r="J23" s="45"/>
      <c r="K23" s="57">
        <f>F20</f>
        <v>4.9316087626070901</v>
      </c>
      <c r="L23" s="57">
        <f>F23</f>
        <v>6.7041206290680799</v>
      </c>
      <c r="M23" s="57">
        <f>F26</f>
        <v>7.7215872485542496</v>
      </c>
      <c r="N23" s="58">
        <f>F29</f>
        <v>7.50325410032573</v>
      </c>
    </row>
    <row r="24" spans="1:14" x14ac:dyDescent="0.25">
      <c r="A24" s="2">
        <v>3</v>
      </c>
      <c r="B24" s="2">
        <v>6</v>
      </c>
      <c r="C24" s="7" t="s">
        <v>9</v>
      </c>
      <c r="D24" s="7">
        <v>171</v>
      </c>
      <c r="E24" s="12">
        <v>5.2309998525347297E-2</v>
      </c>
      <c r="F24" s="10">
        <v>8.5639548720690595</v>
      </c>
      <c r="G24" s="10">
        <v>6.3190312413867199E-15</v>
      </c>
      <c r="I24" s="62"/>
      <c r="J24" s="47" t="s">
        <v>9</v>
      </c>
      <c r="K24" s="55">
        <f>E21</f>
        <v>2.74914731193092E-2</v>
      </c>
      <c r="L24" s="55">
        <f>E24</f>
        <v>5.2309998525347297E-2</v>
      </c>
      <c r="M24" s="55">
        <f>E27</f>
        <v>6.8276779771068496E-2</v>
      </c>
      <c r="N24" s="29">
        <f>E30</f>
        <v>6.4257348394614999E-2</v>
      </c>
    </row>
    <row r="25" spans="1:14" x14ac:dyDescent="0.25">
      <c r="A25" s="6">
        <v>3</v>
      </c>
      <c r="B25" s="6">
        <v>9</v>
      </c>
      <c r="C25" s="6" t="s">
        <v>7</v>
      </c>
      <c r="D25" s="6">
        <v>168</v>
      </c>
      <c r="E25" s="11">
        <v>3.1641119197947001E-2</v>
      </c>
      <c r="F25" s="9">
        <v>2.60146713298073</v>
      </c>
      <c r="G25" s="9">
        <v>1.01161296606066E-2</v>
      </c>
      <c r="I25" s="63"/>
      <c r="J25" s="48"/>
      <c r="K25" s="23">
        <f>F21</f>
        <v>5.48900911918963</v>
      </c>
      <c r="L25" s="23">
        <f>F24</f>
        <v>8.5639548720690595</v>
      </c>
      <c r="M25" s="23">
        <f>F27</f>
        <v>8.8781796101653701</v>
      </c>
      <c r="N25" s="31">
        <f>F30</f>
        <v>7.1660071590778198</v>
      </c>
    </row>
    <row r="26" spans="1:14" x14ac:dyDescent="0.25">
      <c r="A26" s="6">
        <v>3</v>
      </c>
      <c r="B26" s="6">
        <v>9</v>
      </c>
      <c r="C26" s="6" t="s">
        <v>8</v>
      </c>
      <c r="D26" s="6">
        <v>168</v>
      </c>
      <c r="E26" s="11">
        <v>9.9917898969015498E-2</v>
      </c>
      <c r="F26" s="9">
        <v>7.7215872485542496</v>
      </c>
      <c r="G26" s="9">
        <v>1.00440591326992E-12</v>
      </c>
    </row>
    <row r="27" spans="1:14" x14ac:dyDescent="0.25">
      <c r="A27" s="5">
        <v>3</v>
      </c>
      <c r="B27" s="5">
        <v>9</v>
      </c>
      <c r="C27" s="6" t="s">
        <v>9</v>
      </c>
      <c r="D27" s="6">
        <v>168</v>
      </c>
      <c r="E27" s="11">
        <v>6.8276779771068496E-2</v>
      </c>
      <c r="F27" s="9">
        <v>8.8781796101653701</v>
      </c>
      <c r="G27" s="9">
        <v>1.0271044282789199E-15</v>
      </c>
    </row>
    <row r="28" spans="1:14" x14ac:dyDescent="0.25">
      <c r="A28" s="7">
        <v>3</v>
      </c>
      <c r="B28" s="7">
        <v>12</v>
      </c>
      <c r="C28" s="7" t="s">
        <v>7</v>
      </c>
      <c r="D28" s="7">
        <v>165</v>
      </c>
      <c r="E28" s="12">
        <v>5.52136466982436E-2</v>
      </c>
      <c r="F28" s="10">
        <v>3.6216418290305401</v>
      </c>
      <c r="G28" s="10">
        <v>3.8989453950004702E-4</v>
      </c>
    </row>
    <row r="29" spans="1:14" x14ac:dyDescent="0.25">
      <c r="A29" s="7">
        <v>3</v>
      </c>
      <c r="B29" s="7">
        <v>12</v>
      </c>
      <c r="C29" s="7" t="s">
        <v>8</v>
      </c>
      <c r="D29" s="7">
        <v>165</v>
      </c>
      <c r="E29" s="12">
        <v>0.119470995092858</v>
      </c>
      <c r="F29" s="10">
        <v>7.50325410032573</v>
      </c>
      <c r="G29" s="10">
        <v>3.7410479353997401E-12</v>
      </c>
    </row>
    <row r="30" spans="1:14" x14ac:dyDescent="0.25">
      <c r="A30" s="2">
        <v>3</v>
      </c>
      <c r="B30" s="2">
        <v>12</v>
      </c>
      <c r="C30" s="7" t="s">
        <v>9</v>
      </c>
      <c r="D30" s="7">
        <v>165</v>
      </c>
      <c r="E30" s="12">
        <v>6.4257348394614999E-2</v>
      </c>
      <c r="F30" s="10">
        <v>7.1660071590778198</v>
      </c>
      <c r="G30" s="10">
        <v>2.49001927703697E-11</v>
      </c>
    </row>
  </sheetData>
  <mergeCells count="12">
    <mergeCell ref="I20:I25"/>
    <mergeCell ref="J20:J21"/>
    <mergeCell ref="J22:J23"/>
    <mergeCell ref="J24:J25"/>
    <mergeCell ref="I18:N18"/>
    <mergeCell ref="I2:N2"/>
    <mergeCell ref="A1:G1"/>
    <mergeCell ref="A17:G17"/>
    <mergeCell ref="I4:I9"/>
    <mergeCell ref="J4:J5"/>
    <mergeCell ref="J6:J7"/>
    <mergeCell ref="J8:J9"/>
  </mergeCells>
  <phoneticPr fontId="19" type="noConversion"/>
  <conditionalFormatting sqref="E2">
    <cfRule type="cellIs" dxfId="14" priority="11" operator="lessThan">
      <formula>0</formula>
    </cfRule>
    <cfRule type="cellIs" dxfId="13" priority="12" operator="greaterThan">
      <formula>0</formula>
    </cfRule>
  </conditionalFormatting>
  <conditionalFormatting sqref="G2">
    <cfRule type="cellIs" dxfId="12" priority="10" operator="lessThan">
      <formula>0.05</formula>
    </cfRule>
  </conditionalFormatting>
  <conditionalFormatting sqref="E18">
    <cfRule type="cellIs" dxfId="11" priority="8" operator="lessThan">
      <formula>0</formula>
    </cfRule>
    <cfRule type="cellIs" dxfId="10" priority="9" operator="greaterThan">
      <formula>0</formula>
    </cfRule>
  </conditionalFormatting>
  <conditionalFormatting sqref="G18">
    <cfRule type="cellIs" dxfId="9" priority="7" operator="lessThan">
      <formula>0.05</formula>
    </cfRule>
  </conditionalFormatting>
  <conditionalFormatting sqref="E3:E14">
    <cfRule type="cellIs" dxfId="8" priority="5" operator="lessThan">
      <formula>0</formula>
    </cfRule>
    <cfRule type="cellIs" dxfId="7" priority="6" operator="greaterThan">
      <formula>0</formula>
    </cfRule>
  </conditionalFormatting>
  <conditionalFormatting sqref="G3:G14">
    <cfRule type="cellIs" dxfId="6" priority="4" operator="lessThan">
      <formula>0.05</formula>
    </cfRule>
  </conditionalFormatting>
  <conditionalFormatting sqref="E19:E30">
    <cfRule type="cellIs" dxfId="5" priority="2" operator="lessThan">
      <formula>0</formula>
    </cfRule>
    <cfRule type="cellIs" dxfId="4" priority="3" operator="greaterThan">
      <formula>0</formula>
    </cfRule>
  </conditionalFormatting>
  <conditionalFormatting sqref="G19:G30">
    <cfRule type="cellIs" dxfId="3" priority="1" operator="lessThan">
      <formula>0.05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mv150_10years</vt:lpstr>
      <vt:lpstr>mv150_15years</vt:lpstr>
      <vt:lpstr>priceOver10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惟涵 詹</cp:lastModifiedBy>
  <dcterms:created xsi:type="dcterms:W3CDTF">2025-07-14T12:43:58Z</dcterms:created>
  <dcterms:modified xsi:type="dcterms:W3CDTF">2025-07-21T16:04:47Z</dcterms:modified>
</cp:coreProperties>
</file>