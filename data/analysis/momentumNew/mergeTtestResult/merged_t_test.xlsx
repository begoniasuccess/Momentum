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momentumNew\mergeTtestResult\"/>
    </mc:Choice>
  </mc:AlternateContent>
  <xr:revisionPtr revIDLastSave="0" documentId="13_ncr:9_{82F48FF3-B50E-4F12-9727-201521F988D3}" xr6:coauthVersionLast="47" xr6:coauthVersionMax="47" xr10:uidLastSave="{00000000-0000-0000-0000-000000000000}"/>
  <bookViews>
    <workbookView xWindow="-120" yWindow="-120" windowWidth="24240" windowHeight="13020" xr2:uid="{79B926A8-815C-4ADE-A3A1-103001E1D343}"/>
  </bookViews>
  <sheets>
    <sheet name="merged_t_test" sheetId="1" r:id="rId1"/>
  </sheets>
  <definedNames>
    <definedName name="_xlnm._FilterDatabase" localSheetId="0" hidden="1">merged_t_test!$A$1:$G$49</definedName>
  </definedNames>
  <calcPr calcId="0"/>
</workbook>
</file>

<file path=xl/calcChain.xml><?xml version="1.0" encoding="utf-8"?>
<calcChain xmlns="http://schemas.openxmlformats.org/spreadsheetml/2006/main">
  <c r="N29" i="1" l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N9" i="1"/>
  <c r="N7" i="1"/>
  <c r="M11" i="1"/>
  <c r="M9" i="1"/>
  <c r="M7" i="1"/>
  <c r="L11" i="1"/>
  <c r="L9" i="1"/>
  <c r="L7" i="1"/>
  <c r="N10" i="1"/>
  <c r="N8" i="1"/>
  <c r="N6" i="1"/>
  <c r="M10" i="1"/>
  <c r="M8" i="1"/>
  <c r="M6" i="1"/>
  <c r="L10" i="1"/>
  <c r="L8" i="1"/>
  <c r="L6" i="1"/>
  <c r="K11" i="1"/>
  <c r="K10" i="1"/>
  <c r="K9" i="1"/>
  <c r="K8" i="1"/>
  <c r="K7" i="1"/>
  <c r="K6" i="1"/>
</calcChain>
</file>

<file path=xl/sharedStrings.xml><?xml version="1.0" encoding="utf-8"?>
<sst xmlns="http://schemas.openxmlformats.org/spreadsheetml/2006/main" count="68" uniqueCount="11">
  <si>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</si>
  <si>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</si>
  <si>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</si>
  <si>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</si>
  <si>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</si>
  <si>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</si>
  <si>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</si>
  <si>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</si>
  <si>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</si>
  <si>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</si>
  <si>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>J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</si>
</sst>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6" formatCode="0.0000"/>
  </numFmts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186" fontId="20" fillId="34" borderId="10" xfId="0" applyNumberFormat="1" applyFont="1" applyFill="1" applyBorder="1" applyAlignment="1">
      <alignment horizontal="center" vertical="center"/>
    </xf>
    <xf numFmtId="18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86" fontId="21" fillId="0" borderId="0" xfId="0" applyNumberFormat="1" applyFon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86" fontId="21" fillId="0" borderId="12" xfId="0" applyNumberFormat="1" applyFont="1" applyBorder="1" applyAlignment="1">
      <alignment horizontal="center" vertical="center"/>
    </xf>
    <xf numFmtId="0" fontId="0" fillId="0" borderId="12" xfId="0" applyBorder="1">
      <alignment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7"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  <fill>
        <patternFill patternType="none">
          <bgColor auto="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C0000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dimension ref="A1:N49"/>
  <sheetViews>
    <sheetView tabSelected="1" zoomScale="85" zoomScaleNormal="85" workbookViewId="0">
      <pane ySplit="1" topLeftCell="A2" activePane="bottomLeft" state="frozen"/>
      <selection pane="bottomLeft" activeCell="I33" sqref="I33"/>
    </sheetView>
  </sheetViews>
  <sheetFormatPr defaultRowHeight="16.5" x14ac:dyDescent="0.25"/>
  <cols>
    <col min="1" max="2" width="11.375" style="10" customWidth="1"/>
    <col min="3" max="3" width="17.375" style="10" customWidth="1"/>
    <col min="4" max="4" width="8.625" style="10" customWidth="1"/>
    <col min="5" max="5" width="13.25" style="16" customWidth="1"/>
    <col min="6" max="6" width="16" style="10" customWidth="1"/>
    <col min="7" max="7" width="15.75" style="10" customWidth="1"/>
    <col min="8" max="9" width="9" style="5"/>
    <col min="10" max="10" width="15.375" style="5" customWidth="1"/>
    <col min="11" max="14" width="12.625" style="5" customWidth="1"/>
    <col min="15" max="16384" width="9" style="5"/>
  </cols>
  <sheetData>
    <row r="1" spans="1:14" s="1" customFormat="1" x14ac:dyDescent="0.25">
      <c r="A1" s="3" t="s">
        <v>5</v>
      </c>
      <c r="B1" s="3" t="s">
        <v>6</v>
      </c>
      <c r="C1" s="3" t="s">
        <v>0</v>
      </c>
      <c r="D1" s="3" t="s">
        <v>1</v>
      </c>
      <c r="E1" s="4" t="s">
        <v>2</v>
      </c>
      <c r="F1" s="3" t="s">
        <v>3</v>
      </c>
      <c r="G1" s="3" t="s">
        <v>4</v>
      </c>
    </row>
    <row r="2" spans="1:14" customFormat="1" x14ac:dyDescent="0.25">
      <c r="A2" s="8">
        <v>3</v>
      </c>
      <c r="B2" s="8">
        <v>3</v>
      </c>
      <c r="C2" s="8" t="s">
        <v>7</v>
      </c>
      <c r="D2" s="8">
        <v>114</v>
      </c>
      <c r="E2" s="14">
        <v>3.0260421823129999E-4</v>
      </c>
      <c r="F2" s="12">
        <v>2.8355084394913299E-2</v>
      </c>
      <c r="G2" s="12">
        <v>0.97742896460482598</v>
      </c>
    </row>
    <row r="3" spans="1:14" customFormat="1" x14ac:dyDescent="0.25">
      <c r="A3" s="8">
        <v>3</v>
      </c>
      <c r="B3" s="8">
        <v>3</v>
      </c>
      <c r="C3" s="8" t="s">
        <v>8</v>
      </c>
      <c r="D3" s="8">
        <v>114</v>
      </c>
      <c r="E3" s="14">
        <v>3.0722210317410001E-2</v>
      </c>
      <c r="F3" s="12">
        <v>3.54698888875836</v>
      </c>
      <c r="G3" s="12">
        <v>5.6845064904419997E-4</v>
      </c>
    </row>
    <row r="4" spans="1:14" customFormat="1" x14ac:dyDescent="0.25">
      <c r="A4" s="7">
        <v>3</v>
      </c>
      <c r="B4" s="7">
        <v>3</v>
      </c>
      <c r="C4" s="8" t="s">
        <v>9</v>
      </c>
      <c r="D4" s="8">
        <v>114</v>
      </c>
      <c r="E4" s="14">
        <v>3.0419606099178698E-2</v>
      </c>
      <c r="F4" s="12">
        <v>3.5780818191419801</v>
      </c>
      <c r="G4" s="12">
        <v>5.1106356269530005E-4</v>
      </c>
    </row>
    <row r="5" spans="1:14" customFormat="1" ht="17.25" thickBot="1" x14ac:dyDescent="0.3">
      <c r="A5" s="9">
        <v>3</v>
      </c>
      <c r="B5" s="9">
        <v>6</v>
      </c>
      <c r="C5" s="9" t="s">
        <v>7</v>
      </c>
      <c r="D5" s="9">
        <v>111</v>
      </c>
      <c r="E5" s="15">
        <v>1.51301049852723E-2</v>
      </c>
      <c r="F5" s="13">
        <v>1.1443893939324601</v>
      </c>
      <c r="G5" s="13">
        <v>0.25494625406830401</v>
      </c>
      <c r="I5" s="18" t="s">
        <v>10</v>
      </c>
      <c r="J5" s="18"/>
      <c r="K5" s="18">
        <v>3</v>
      </c>
      <c r="L5" s="18">
        <v>6</v>
      </c>
      <c r="M5" s="18">
        <v>9</v>
      </c>
      <c r="N5" s="18">
        <v>12</v>
      </c>
    </row>
    <row r="6" spans="1:14" customFormat="1" x14ac:dyDescent="0.25">
      <c r="A6" s="9">
        <v>3</v>
      </c>
      <c r="B6" s="9">
        <v>6</v>
      </c>
      <c r="C6" s="9" t="s">
        <v>8</v>
      </c>
      <c r="D6" s="9">
        <v>111</v>
      </c>
      <c r="E6" s="15">
        <v>6.5631060309720005E-2</v>
      </c>
      <c r="F6" s="13">
        <v>4.6891959760591497</v>
      </c>
      <c r="G6" s="13">
        <v>7.9232025762956804E-6</v>
      </c>
      <c r="I6" s="10">
        <v>3</v>
      </c>
      <c r="J6" s="10" t="s">
        <v>7</v>
      </c>
      <c r="K6" s="17">
        <f>$E2</f>
        <v>3.0260421823129999E-4</v>
      </c>
      <c r="L6" s="17">
        <f>$E5</f>
        <v>1.51301049852723E-2</v>
      </c>
      <c r="M6" s="17">
        <f>$E8</f>
        <v>1.51244575442856E-2</v>
      </c>
      <c r="N6" s="17">
        <f>$E11</f>
        <v>2.3280515551955899E-2</v>
      </c>
    </row>
    <row r="7" spans="1:14" customFormat="1" x14ac:dyDescent="0.25">
      <c r="A7" s="2">
        <v>3</v>
      </c>
      <c r="B7" s="2">
        <v>6</v>
      </c>
      <c r="C7" s="9" t="s">
        <v>9</v>
      </c>
      <c r="D7" s="9">
        <v>111</v>
      </c>
      <c r="E7" s="15">
        <v>5.0500955324447698E-2</v>
      </c>
      <c r="F7" s="13">
        <v>3.8236782043989401</v>
      </c>
      <c r="G7" s="13">
        <v>2.184178713642E-4</v>
      </c>
      <c r="I7" s="6"/>
      <c r="J7" s="6"/>
      <c r="K7" s="19" t="str">
        <f>"("&amp;TEXT($F2, "0.00")&amp;")"</f>
        <v>(0.03)</v>
      </c>
      <c r="L7" s="19" t="str">
        <f>"("&amp;TEXT($F5, "0.00")&amp;")"</f>
        <v>(1.14)</v>
      </c>
      <c r="M7" s="19" t="str">
        <f>"("&amp;TEXT($F8, "0.00")&amp;")"</f>
        <v>(0.96)</v>
      </c>
      <c r="N7" s="19" t="str">
        <f>"("&amp;TEXT($F11, "0.00")&amp;")"</f>
        <v>(1.16)</v>
      </c>
    </row>
    <row r="8" spans="1:14" customFormat="1" x14ac:dyDescent="0.25">
      <c r="A8" s="8">
        <v>3</v>
      </c>
      <c r="B8" s="8">
        <v>9</v>
      </c>
      <c r="C8" s="8" t="s">
        <v>7</v>
      </c>
      <c r="D8" s="8">
        <v>108</v>
      </c>
      <c r="E8" s="14">
        <v>1.51244575442856E-2</v>
      </c>
      <c r="F8" s="12">
        <v>0.95653052500906299</v>
      </c>
      <c r="G8" s="12">
        <v>0.34096046080184</v>
      </c>
      <c r="I8" s="10">
        <v>3</v>
      </c>
      <c r="J8" s="10" t="s">
        <v>8</v>
      </c>
      <c r="K8" s="17">
        <f>$E3</f>
        <v>3.0722210317410001E-2</v>
      </c>
      <c r="L8" s="17">
        <f>$E6</f>
        <v>6.5631060309720005E-2</v>
      </c>
      <c r="M8" s="17">
        <f>$E9</f>
        <v>9.0526528336692905E-2</v>
      </c>
      <c r="N8" s="17">
        <f>$E12</f>
        <v>9.33097832882889E-2</v>
      </c>
    </row>
    <row r="9" spans="1:14" customFormat="1" x14ac:dyDescent="0.25">
      <c r="A9" s="8">
        <v>3</v>
      </c>
      <c r="B9" s="8">
        <v>9</v>
      </c>
      <c r="C9" s="8" t="s">
        <v>8</v>
      </c>
      <c r="D9" s="8">
        <v>108</v>
      </c>
      <c r="E9" s="14">
        <v>9.0526528336692905E-2</v>
      </c>
      <c r="F9" s="12">
        <v>5.1462038766068803</v>
      </c>
      <c r="G9" s="12">
        <v>1.2141876138480901E-6</v>
      </c>
      <c r="I9" s="6"/>
      <c r="J9" s="6"/>
      <c r="K9" s="19" t="str">
        <f>"("&amp;TEXT($F3,"0.00")&amp;")"</f>
        <v>(3.55)</v>
      </c>
      <c r="L9" s="19" t="str">
        <f>"("&amp;TEXT($F6,"0.00")&amp;")"</f>
        <v>(4.69)</v>
      </c>
      <c r="M9" s="19" t="str">
        <f>"("&amp;TEXT($F9,"0.00")&amp;")"</f>
        <v>(5.15)</v>
      </c>
      <c r="N9" s="19" t="str">
        <f>"("&amp;TEXT($F12,"0.00")&amp;")"</f>
        <v>(4.41)</v>
      </c>
    </row>
    <row r="10" spans="1:14" customFormat="1" x14ac:dyDescent="0.25">
      <c r="A10" s="7">
        <v>3</v>
      </c>
      <c r="B10" s="7">
        <v>9</v>
      </c>
      <c r="C10" s="8" t="s">
        <v>9</v>
      </c>
      <c r="D10" s="8">
        <v>108</v>
      </c>
      <c r="E10" s="14">
        <v>7.5402070792407294E-2</v>
      </c>
      <c r="F10" s="12">
        <v>4.4945377822361303</v>
      </c>
      <c r="G10" s="12">
        <v>1.7724280876774E-5</v>
      </c>
      <c r="I10" s="11">
        <v>3</v>
      </c>
      <c r="J10" s="11" t="s">
        <v>9</v>
      </c>
      <c r="K10" s="17">
        <f>$E4</f>
        <v>3.0419606099178698E-2</v>
      </c>
      <c r="L10" s="17">
        <f>$E7</f>
        <v>5.0500955324447698E-2</v>
      </c>
      <c r="M10" s="17">
        <f>$E10</f>
        <v>7.5402070792407294E-2</v>
      </c>
      <c r="N10" s="17">
        <f>$E13</f>
        <v>7.0029267736333001E-2</v>
      </c>
    </row>
    <row r="11" spans="1:14" customFormat="1" x14ac:dyDescent="0.25">
      <c r="A11" s="9">
        <v>3</v>
      </c>
      <c r="B11" s="9">
        <v>12</v>
      </c>
      <c r="C11" s="9" t="s">
        <v>7</v>
      </c>
      <c r="D11" s="9">
        <v>105</v>
      </c>
      <c r="E11" s="15">
        <v>2.3280515551955899E-2</v>
      </c>
      <c r="F11" s="13">
        <v>1.1620071159640999</v>
      </c>
      <c r="G11" s="13">
        <v>0.24789234222405299</v>
      </c>
      <c r="I11" s="20"/>
      <c r="J11" s="20"/>
      <c r="K11" s="21" t="str">
        <f>"("&amp;TEXT($F4,"0.00")&amp;")"</f>
        <v>(3.58)</v>
      </c>
      <c r="L11" s="21" t="str">
        <f>"("&amp;TEXT($F7,"0.00")&amp;")"</f>
        <v>(3.82)</v>
      </c>
      <c r="M11" s="21" t="str">
        <f>"("&amp;TEXT($F10,"0.00")&amp;")"</f>
        <v>(4.49)</v>
      </c>
      <c r="N11" s="21" t="str">
        <f>"("&amp;TEXT($F13,"0.00")&amp;")"</f>
        <v>(3.39)</v>
      </c>
    </row>
    <row r="12" spans="1:14" customFormat="1" x14ac:dyDescent="0.25">
      <c r="A12" s="9">
        <v>3</v>
      </c>
      <c r="B12" s="9">
        <v>12</v>
      </c>
      <c r="C12" s="9" t="s">
        <v>8</v>
      </c>
      <c r="D12" s="9">
        <v>105</v>
      </c>
      <c r="E12" s="15">
        <v>9.33097832882889E-2</v>
      </c>
      <c r="F12" s="13">
        <v>4.4123635783784998</v>
      </c>
      <c r="G12" s="13">
        <v>2.5034503907783899E-5</v>
      </c>
      <c r="I12" s="10">
        <v>6</v>
      </c>
      <c r="J12" s="10" t="s">
        <v>7</v>
      </c>
      <c r="K12" s="17">
        <f>$E8</f>
        <v>1.51244575442856E-2</v>
      </c>
      <c r="L12" s="17">
        <f>$E11</f>
        <v>2.3280515551955899E-2</v>
      </c>
      <c r="M12" s="17">
        <f>$E14</f>
        <v>4.7735012474096001E-3</v>
      </c>
      <c r="N12" s="17">
        <f>$E17</f>
        <v>1.89783044088855E-2</v>
      </c>
    </row>
    <row r="13" spans="1:14" customFormat="1" x14ac:dyDescent="0.25">
      <c r="A13" s="2">
        <v>3</v>
      </c>
      <c r="B13" s="2">
        <v>12</v>
      </c>
      <c r="C13" s="9" t="s">
        <v>9</v>
      </c>
      <c r="D13" s="9">
        <v>105</v>
      </c>
      <c r="E13" s="15">
        <v>7.0029267736333001E-2</v>
      </c>
      <c r="F13" s="13">
        <v>3.3910500846225302</v>
      </c>
      <c r="G13" s="13">
        <v>9.8533179837500011E-4</v>
      </c>
      <c r="I13" s="6"/>
      <c r="J13" s="6"/>
      <c r="K13" s="19" t="str">
        <f>"("&amp;TEXT($F8, "0.00")&amp;")"</f>
        <v>(0.96)</v>
      </c>
      <c r="L13" s="19" t="str">
        <f>"("&amp;TEXT($F11, "0.00")&amp;")"</f>
        <v>(1.16)</v>
      </c>
      <c r="M13" s="19" t="str">
        <f>"("&amp;TEXT($F14, "0.00")&amp;")"</f>
        <v>(0.45)</v>
      </c>
      <c r="N13" s="19" t="str">
        <f>"("&amp;TEXT($F17, "0.00")&amp;")"</f>
        <v>(1.35)</v>
      </c>
    </row>
    <row r="14" spans="1:14" customFormat="1" x14ac:dyDescent="0.25">
      <c r="A14" s="8">
        <v>6</v>
      </c>
      <c r="B14" s="8">
        <v>3</v>
      </c>
      <c r="C14" s="8" t="s">
        <v>7</v>
      </c>
      <c r="D14" s="8">
        <v>111</v>
      </c>
      <c r="E14" s="14">
        <v>4.7735012474096001E-3</v>
      </c>
      <c r="F14" s="12">
        <v>0.44911286122773603</v>
      </c>
      <c r="G14" s="12">
        <v>0.65423383389473</v>
      </c>
      <c r="I14" s="10">
        <v>6</v>
      </c>
      <c r="J14" s="10" t="s">
        <v>8</v>
      </c>
      <c r="K14" s="17">
        <f>$E9</f>
        <v>9.0526528336692905E-2</v>
      </c>
      <c r="L14" s="17">
        <f>$E12</f>
        <v>9.33097832882889E-2</v>
      </c>
      <c r="M14" s="17">
        <f>$E15</f>
        <v>2.7115683765055399E-2</v>
      </c>
      <c r="N14" s="17">
        <f>$E18</f>
        <v>5.4315765000363898E-2</v>
      </c>
    </row>
    <row r="15" spans="1:14" customFormat="1" x14ac:dyDescent="0.25">
      <c r="A15" s="8">
        <v>6</v>
      </c>
      <c r="B15" s="8">
        <v>3</v>
      </c>
      <c r="C15" s="8" t="s">
        <v>8</v>
      </c>
      <c r="D15" s="8">
        <v>111</v>
      </c>
      <c r="E15" s="14">
        <v>2.7115683765055399E-2</v>
      </c>
      <c r="F15" s="12">
        <v>3.13615113483938</v>
      </c>
      <c r="G15" s="12">
        <v>2.1961835765053998E-3</v>
      </c>
      <c r="I15" s="6"/>
      <c r="J15" s="6"/>
      <c r="K15" s="19" t="str">
        <f>"("&amp;TEXT($F9,"0.00")&amp;")"</f>
        <v>(5.15)</v>
      </c>
      <c r="L15" s="19" t="str">
        <f>"("&amp;TEXT($F12,"0.00")&amp;")"</f>
        <v>(4.41)</v>
      </c>
      <c r="M15" s="19" t="str">
        <f>"("&amp;TEXT($F15,"0.00")&amp;")"</f>
        <v>(3.14)</v>
      </c>
      <c r="N15" s="19" t="str">
        <f>"("&amp;TEXT($F18,"0.00")&amp;")"</f>
        <v>(4.18)</v>
      </c>
    </row>
    <row r="16" spans="1:14" customFormat="1" x14ac:dyDescent="0.25">
      <c r="A16" s="7">
        <v>6</v>
      </c>
      <c r="B16" s="7">
        <v>3</v>
      </c>
      <c r="C16" s="8" t="s">
        <v>9</v>
      </c>
      <c r="D16" s="8">
        <v>111</v>
      </c>
      <c r="E16" s="14">
        <v>2.23421825176458E-2</v>
      </c>
      <c r="F16" s="12">
        <v>2.6870396316370502</v>
      </c>
      <c r="G16" s="12">
        <v>8.3279350537053005E-3</v>
      </c>
      <c r="I16" s="11">
        <v>6</v>
      </c>
      <c r="J16" s="11" t="s">
        <v>9</v>
      </c>
      <c r="K16" s="17">
        <f>$E10</f>
        <v>7.5402070792407294E-2</v>
      </c>
      <c r="L16" s="17">
        <f>$E13</f>
        <v>7.0029267736333001E-2</v>
      </c>
      <c r="M16" s="17">
        <f>$E16</f>
        <v>2.23421825176458E-2</v>
      </c>
      <c r="N16" s="17">
        <f>$E19</f>
        <v>3.5337460591478298E-2</v>
      </c>
    </row>
    <row r="17" spans="1:14" customFormat="1" x14ac:dyDescent="0.25">
      <c r="A17" s="9">
        <v>6</v>
      </c>
      <c r="B17" s="9">
        <v>6</v>
      </c>
      <c r="C17" s="9" t="s">
        <v>7</v>
      </c>
      <c r="D17" s="9">
        <v>108</v>
      </c>
      <c r="E17" s="15">
        <v>1.89783044088855E-2</v>
      </c>
      <c r="F17" s="13">
        <v>1.34747042886984</v>
      </c>
      <c r="G17" s="13">
        <v>0.18067514945157101</v>
      </c>
      <c r="I17" s="20"/>
      <c r="J17" s="20"/>
      <c r="K17" s="21" t="str">
        <f>"("&amp;TEXT($F10,"0.00")&amp;")"</f>
        <v>(4.49)</v>
      </c>
      <c r="L17" s="21" t="str">
        <f>"("&amp;TEXT($F13,"0.00")&amp;")"</f>
        <v>(3.39)</v>
      </c>
      <c r="M17" s="21" t="str">
        <f>"("&amp;TEXT($F16,"0.00")&amp;")"</f>
        <v>(2.69)</v>
      </c>
      <c r="N17" s="21" t="str">
        <f>"("&amp;TEXT($F19,"0.00")&amp;")"</f>
        <v>(2.98)</v>
      </c>
    </row>
    <row r="18" spans="1:14" customFormat="1" x14ac:dyDescent="0.25">
      <c r="A18" s="9">
        <v>6</v>
      </c>
      <c r="B18" s="9">
        <v>6</v>
      </c>
      <c r="C18" s="9" t="s">
        <v>8</v>
      </c>
      <c r="D18" s="9">
        <v>108</v>
      </c>
      <c r="E18" s="15">
        <v>5.4315765000363898E-2</v>
      </c>
      <c r="F18" s="13">
        <v>4.1771525637975904</v>
      </c>
      <c r="G18" s="13">
        <v>6.0419980721123302E-5</v>
      </c>
      <c r="I18" s="10">
        <v>9</v>
      </c>
      <c r="J18" s="10" t="s">
        <v>7</v>
      </c>
      <c r="K18" s="17">
        <f>$E14</f>
        <v>4.7735012474096001E-3</v>
      </c>
      <c r="L18" s="17">
        <f>$E17</f>
        <v>1.89783044088855E-2</v>
      </c>
      <c r="M18" s="17">
        <f>$E20</f>
        <v>1.99711867006667E-2</v>
      </c>
      <c r="N18" s="17">
        <f>$E23</f>
        <v>3.0649711185840801E-2</v>
      </c>
    </row>
    <row r="19" spans="1:14" customFormat="1" x14ac:dyDescent="0.25">
      <c r="A19" s="2">
        <v>6</v>
      </c>
      <c r="B19" s="2">
        <v>6</v>
      </c>
      <c r="C19" s="9" t="s">
        <v>9</v>
      </c>
      <c r="D19" s="9">
        <v>108</v>
      </c>
      <c r="E19" s="15">
        <v>3.5337460591478298E-2</v>
      </c>
      <c r="F19" s="13">
        <v>2.98291024159405</v>
      </c>
      <c r="G19" s="13">
        <v>3.5367985366198001E-3</v>
      </c>
      <c r="I19" s="6"/>
      <c r="J19" s="6"/>
      <c r="K19" s="19" t="str">
        <f>"("&amp;TEXT($F14, "0.00")&amp;")"</f>
        <v>(0.45)</v>
      </c>
      <c r="L19" s="19" t="str">
        <f>"("&amp;TEXT($F17, "0.00")&amp;")"</f>
        <v>(1.35)</v>
      </c>
      <c r="M19" s="19" t="str">
        <f>"("&amp;TEXT($F20, "0.00")&amp;")"</f>
        <v>(1.20)</v>
      </c>
      <c r="N19" s="19" t="str">
        <f>"("&amp;TEXT($F23, "0.00")&amp;")"</f>
        <v>(1.53)</v>
      </c>
    </row>
    <row r="20" spans="1:14" customFormat="1" x14ac:dyDescent="0.25">
      <c r="A20" s="8">
        <v>6</v>
      </c>
      <c r="B20" s="8">
        <v>9</v>
      </c>
      <c r="C20" s="8" t="s">
        <v>7</v>
      </c>
      <c r="D20" s="8">
        <v>105</v>
      </c>
      <c r="E20" s="14">
        <v>1.99711867006667E-2</v>
      </c>
      <c r="F20" s="12">
        <v>1.20457814144487</v>
      </c>
      <c r="G20" s="12">
        <v>0.231100321207518</v>
      </c>
      <c r="I20" s="10">
        <v>9</v>
      </c>
      <c r="J20" s="10" t="s">
        <v>8</v>
      </c>
      <c r="K20" s="17">
        <f>$E15</f>
        <v>2.7115683765055399E-2</v>
      </c>
      <c r="L20" s="17">
        <f>$E18</f>
        <v>5.4315765000363898E-2</v>
      </c>
      <c r="M20" s="17">
        <f>$E21</f>
        <v>6.03256929965394E-2</v>
      </c>
      <c r="N20" s="17">
        <f>$E24</f>
        <v>5.3065850483251402E-2</v>
      </c>
    </row>
    <row r="21" spans="1:14" customFormat="1" x14ac:dyDescent="0.25">
      <c r="A21" s="8">
        <v>6</v>
      </c>
      <c r="B21" s="8">
        <v>9</v>
      </c>
      <c r="C21" s="8" t="s">
        <v>8</v>
      </c>
      <c r="D21" s="8">
        <v>105</v>
      </c>
      <c r="E21" s="14">
        <v>6.03256929965394E-2</v>
      </c>
      <c r="F21" s="12">
        <v>3.6065100358000701</v>
      </c>
      <c r="G21" s="12">
        <v>4.7856639655370002E-4</v>
      </c>
      <c r="I21" s="6"/>
      <c r="J21" s="6"/>
      <c r="K21" s="19" t="str">
        <f>"("&amp;TEXT($F15,"0.00")&amp;")"</f>
        <v>(3.14)</v>
      </c>
      <c r="L21" s="19" t="str">
        <f>"("&amp;TEXT($F18,"0.00")&amp;")"</f>
        <v>(4.18)</v>
      </c>
      <c r="M21" s="19" t="str">
        <f>"("&amp;TEXT($F21,"0.00")&amp;")"</f>
        <v>(3.61)</v>
      </c>
      <c r="N21" s="19" t="str">
        <f>"("&amp;TEXT($F24,"0.00")&amp;")"</f>
        <v>(2.67)</v>
      </c>
    </row>
    <row r="22" spans="1:14" customFormat="1" x14ac:dyDescent="0.25">
      <c r="A22" s="7">
        <v>6</v>
      </c>
      <c r="B22" s="7">
        <v>9</v>
      </c>
      <c r="C22" s="8" t="s">
        <v>9</v>
      </c>
      <c r="D22" s="8">
        <v>105</v>
      </c>
      <c r="E22" s="14">
        <v>4.0354506295872603E-2</v>
      </c>
      <c r="F22" s="12">
        <v>2.7064255503855201</v>
      </c>
      <c r="G22" s="12">
        <v>7.9506872459265999E-3</v>
      </c>
      <c r="I22" s="11">
        <v>9</v>
      </c>
      <c r="J22" s="11" t="s">
        <v>9</v>
      </c>
      <c r="K22" s="17">
        <f>$E16</f>
        <v>2.23421825176458E-2</v>
      </c>
      <c r="L22" s="17">
        <f>$E19</f>
        <v>3.5337460591478298E-2</v>
      </c>
      <c r="M22" s="17">
        <f>$E22</f>
        <v>4.0354506295872603E-2</v>
      </c>
      <c r="N22" s="17">
        <f>$E25</f>
        <v>2.2416139297410601E-2</v>
      </c>
    </row>
    <row r="23" spans="1:14" customFormat="1" x14ac:dyDescent="0.25">
      <c r="A23" s="9">
        <v>6</v>
      </c>
      <c r="B23" s="9">
        <v>12</v>
      </c>
      <c r="C23" s="9" t="s">
        <v>7</v>
      </c>
      <c r="D23" s="9">
        <v>102</v>
      </c>
      <c r="E23" s="15">
        <v>3.0649711185840801E-2</v>
      </c>
      <c r="F23" s="13">
        <v>1.5309333480479801</v>
      </c>
      <c r="G23" s="13">
        <v>0.12891208974354801</v>
      </c>
      <c r="I23" s="20"/>
      <c r="J23" s="20"/>
      <c r="K23" s="21" t="str">
        <f>"("&amp;TEXT($F16,"0.00")&amp;")"</f>
        <v>(2.69)</v>
      </c>
      <c r="L23" s="21" t="str">
        <f>"("&amp;TEXT($F19,"0.00")&amp;")"</f>
        <v>(2.98)</v>
      </c>
      <c r="M23" s="21" t="str">
        <f>"("&amp;TEXT($F22,"0.00")&amp;")"</f>
        <v>(2.71)</v>
      </c>
      <c r="N23" s="21" t="str">
        <f>"("&amp;TEXT($F25,"0.00")&amp;")"</f>
        <v>(1.26)</v>
      </c>
    </row>
    <row r="24" spans="1:14" customFormat="1" x14ac:dyDescent="0.25">
      <c r="A24" s="9">
        <v>6</v>
      </c>
      <c r="B24" s="9">
        <v>12</v>
      </c>
      <c r="C24" s="9" t="s">
        <v>8</v>
      </c>
      <c r="D24" s="9">
        <v>102</v>
      </c>
      <c r="E24" s="15">
        <v>5.3065850483251402E-2</v>
      </c>
      <c r="F24" s="13">
        <v>2.6749590287444098</v>
      </c>
      <c r="G24" s="13">
        <v>8.7196464352812999E-3</v>
      </c>
      <c r="I24" s="10">
        <v>12</v>
      </c>
      <c r="J24" s="10" t="s">
        <v>7</v>
      </c>
      <c r="K24" s="17">
        <f>$E20</f>
        <v>1.99711867006667E-2</v>
      </c>
      <c r="L24" s="17">
        <f>$E23</f>
        <v>3.0649711185840801E-2</v>
      </c>
      <c r="M24" s="17">
        <f>$E26</f>
        <v>5.9719290995810005E-4</v>
      </c>
      <c r="N24" s="17">
        <f>$E29</f>
        <v>6.1873933427599999E-4</v>
      </c>
    </row>
    <row r="25" spans="1:14" customFormat="1" x14ac:dyDescent="0.25">
      <c r="A25" s="9">
        <v>6</v>
      </c>
      <c r="B25" s="9">
        <v>12</v>
      </c>
      <c r="C25" s="9" t="s">
        <v>9</v>
      </c>
      <c r="D25" s="9">
        <v>102</v>
      </c>
      <c r="E25" s="15">
        <v>2.2416139297410601E-2</v>
      </c>
      <c r="F25" s="13">
        <v>1.2647026514538</v>
      </c>
      <c r="G25" s="13">
        <v>0.208888402471089</v>
      </c>
      <c r="I25" s="6"/>
      <c r="J25" s="6"/>
      <c r="K25" s="19" t="str">
        <f>"("&amp;TEXT($F20, "0.00")&amp;")"</f>
        <v>(1.20)</v>
      </c>
      <c r="L25" s="19" t="str">
        <f>"("&amp;TEXT($F23, "0.00")&amp;")"</f>
        <v>(1.53)</v>
      </c>
      <c r="M25" s="19" t="str">
        <f>"("&amp;TEXT($F26, "0.00")&amp;")"</f>
        <v>(0.05)</v>
      </c>
      <c r="N25" s="19" t="str">
        <f>"("&amp;TEXT($F29, "0.00")&amp;")"</f>
        <v>(0.04)</v>
      </c>
    </row>
    <row r="26" spans="1:14" customFormat="1" x14ac:dyDescent="0.25">
      <c r="A26" s="8">
        <v>9</v>
      </c>
      <c r="B26" s="8">
        <v>3</v>
      </c>
      <c r="C26" s="8" t="s">
        <v>7</v>
      </c>
      <c r="D26" s="8">
        <v>108</v>
      </c>
      <c r="E26" s="14">
        <v>5.9719290995810005E-4</v>
      </c>
      <c r="F26" s="12">
        <v>5.2714981072726597E-2</v>
      </c>
      <c r="G26" s="12">
        <v>0.95805729432186704</v>
      </c>
      <c r="I26" s="10">
        <v>12</v>
      </c>
      <c r="J26" s="10" t="s">
        <v>8</v>
      </c>
      <c r="K26" s="17">
        <f>$E21</f>
        <v>6.03256929965394E-2</v>
      </c>
      <c r="L26" s="17">
        <f>$E24</f>
        <v>5.3065850483251402E-2</v>
      </c>
      <c r="M26" s="17">
        <f>$E27</f>
        <v>2.8474975298435901E-2</v>
      </c>
      <c r="N26" s="17">
        <f>$E30</f>
        <v>4.1623593254200397E-2</v>
      </c>
    </row>
    <row r="27" spans="1:14" customFormat="1" x14ac:dyDescent="0.25">
      <c r="A27" s="8">
        <v>9</v>
      </c>
      <c r="B27" s="8">
        <v>3</v>
      </c>
      <c r="C27" s="8" t="s">
        <v>8</v>
      </c>
      <c r="D27" s="8">
        <v>108</v>
      </c>
      <c r="E27" s="14">
        <v>2.8474975298435901E-2</v>
      </c>
      <c r="F27" s="12">
        <v>3.2314643208591001</v>
      </c>
      <c r="G27" s="12">
        <v>1.6370331429953E-3</v>
      </c>
      <c r="I27" s="6"/>
      <c r="J27" s="6"/>
      <c r="K27" s="19" t="str">
        <f>"("&amp;TEXT($F21,"0.00")&amp;")"</f>
        <v>(3.61)</v>
      </c>
      <c r="L27" s="19" t="str">
        <f>"("&amp;TEXT($F24,"0.00")&amp;")"</f>
        <v>(2.67)</v>
      </c>
      <c r="M27" s="19" t="str">
        <f>"("&amp;TEXT($F27,"0.00")&amp;")"</f>
        <v>(3.23)</v>
      </c>
      <c r="N27" s="19" t="str">
        <f>"("&amp;TEXT($F30,"0.00")&amp;")"</f>
        <v>(3.18)</v>
      </c>
    </row>
    <row r="28" spans="1:14" customFormat="1" x14ac:dyDescent="0.25">
      <c r="A28" s="7">
        <v>9</v>
      </c>
      <c r="B28" s="7">
        <v>3</v>
      </c>
      <c r="C28" s="8" t="s">
        <v>9</v>
      </c>
      <c r="D28" s="8">
        <v>108</v>
      </c>
      <c r="E28" s="14">
        <v>2.7877782388477702E-2</v>
      </c>
      <c r="F28" s="12">
        <v>2.8904916757838102</v>
      </c>
      <c r="G28" s="12">
        <v>4.6583346619845003E-3</v>
      </c>
      <c r="I28" s="11">
        <v>12</v>
      </c>
      <c r="J28" s="11" t="s">
        <v>9</v>
      </c>
      <c r="K28" s="17">
        <f>$E22</f>
        <v>4.0354506295872603E-2</v>
      </c>
      <c r="L28" s="17">
        <f>$E25</f>
        <v>2.2416139297410601E-2</v>
      </c>
      <c r="M28" s="17">
        <f>$E28</f>
        <v>2.7877782388477702E-2</v>
      </c>
      <c r="N28" s="17">
        <f>$E31</f>
        <v>4.1004853919924297E-2</v>
      </c>
    </row>
    <row r="29" spans="1:14" customFormat="1" x14ac:dyDescent="0.25">
      <c r="A29" s="9">
        <v>9</v>
      </c>
      <c r="B29" s="9">
        <v>6</v>
      </c>
      <c r="C29" s="9" t="s">
        <v>7</v>
      </c>
      <c r="D29" s="9">
        <v>105</v>
      </c>
      <c r="E29" s="15">
        <v>6.1873933427599999E-4</v>
      </c>
      <c r="F29" s="13">
        <v>4.4346786661663397E-2</v>
      </c>
      <c r="G29" s="13">
        <v>0.96471301456515401</v>
      </c>
      <c r="I29" s="22"/>
      <c r="J29" s="22"/>
      <c r="K29" s="21" t="str">
        <f>"("&amp;TEXT($F22,"0.00")&amp;")"</f>
        <v>(2.71)</v>
      </c>
      <c r="L29" s="21" t="str">
        <f>"("&amp;TEXT($F25,"0.00")&amp;")"</f>
        <v>(1.26)</v>
      </c>
      <c r="M29" s="21" t="str">
        <f>"("&amp;TEXT($F28,"0.00")&amp;")"</f>
        <v>(2.89)</v>
      </c>
      <c r="N29" s="21" t="str">
        <f>"("&amp;TEXT($F31,"0.00")&amp;")"</f>
        <v>(3.27)</v>
      </c>
    </row>
    <row r="30" spans="1:14" customFormat="1" x14ac:dyDescent="0.25">
      <c r="A30" s="9">
        <v>9</v>
      </c>
      <c r="B30" s="9">
        <v>6</v>
      </c>
      <c r="C30" s="9" t="s">
        <v>8</v>
      </c>
      <c r="D30" s="9">
        <v>105</v>
      </c>
      <c r="E30" s="15">
        <v>4.1623593254200397E-2</v>
      </c>
      <c r="F30" s="13">
        <v>3.1788306862105702</v>
      </c>
      <c r="G30" s="13">
        <v>1.9481016183373E-3</v>
      </c>
    </row>
    <row r="31" spans="1:14" customFormat="1" x14ac:dyDescent="0.25">
      <c r="A31" s="2">
        <v>9</v>
      </c>
      <c r="B31" s="2">
        <v>6</v>
      </c>
      <c r="C31" s="9" t="s">
        <v>9</v>
      </c>
      <c r="D31" s="9">
        <v>105</v>
      </c>
      <c r="E31" s="15">
        <v>4.1004853919924297E-2</v>
      </c>
      <c r="F31" s="13">
        <v>3.2691054510320399</v>
      </c>
      <c r="G31" s="13">
        <v>1.4631170676755001E-3</v>
      </c>
    </row>
    <row r="32" spans="1:14" customFormat="1" x14ac:dyDescent="0.25">
      <c r="A32" s="8">
        <v>9</v>
      </c>
      <c r="B32" s="8">
        <v>9</v>
      </c>
      <c r="C32" s="8" t="s">
        <v>7</v>
      </c>
      <c r="D32" s="8">
        <v>102</v>
      </c>
      <c r="E32" s="14">
        <v>1.523367447362E-3</v>
      </c>
      <c r="F32" s="12">
        <v>9.0674662684546395E-2</v>
      </c>
      <c r="G32" s="12">
        <v>0.92793068806257695</v>
      </c>
    </row>
    <row r="33" spans="1:7" customFormat="1" x14ac:dyDescent="0.25">
      <c r="A33" s="8">
        <v>9</v>
      </c>
      <c r="B33" s="8">
        <v>9</v>
      </c>
      <c r="C33" s="8" t="s">
        <v>8</v>
      </c>
      <c r="D33" s="8">
        <v>102</v>
      </c>
      <c r="E33" s="14">
        <v>4.0294606718451698E-2</v>
      </c>
      <c r="F33" s="12">
        <v>2.4803654449841401</v>
      </c>
      <c r="G33" s="12">
        <v>1.47777782253665E-2</v>
      </c>
    </row>
    <row r="34" spans="1:7" customFormat="1" x14ac:dyDescent="0.25">
      <c r="A34" s="7">
        <v>9</v>
      </c>
      <c r="B34" s="7">
        <v>9</v>
      </c>
      <c r="C34" s="8" t="s">
        <v>9</v>
      </c>
      <c r="D34" s="8">
        <v>102</v>
      </c>
      <c r="E34" s="14">
        <v>3.8771239271089601E-2</v>
      </c>
      <c r="F34" s="12">
        <v>2.4818415957859701</v>
      </c>
      <c r="G34" s="12">
        <v>1.4720291072391501E-2</v>
      </c>
    </row>
    <row r="35" spans="1:7" customFormat="1" x14ac:dyDescent="0.25">
      <c r="A35" s="9">
        <v>9</v>
      </c>
      <c r="B35" s="9">
        <v>12</v>
      </c>
      <c r="C35" s="9" t="s">
        <v>7</v>
      </c>
      <c r="D35" s="9">
        <v>99</v>
      </c>
      <c r="E35" s="15">
        <v>1.5399793559194999E-2</v>
      </c>
      <c r="F35" s="13">
        <v>0.78676070623234695</v>
      </c>
      <c r="G35" s="13">
        <v>0.43332043259999797</v>
      </c>
    </row>
    <row r="36" spans="1:7" customFormat="1" x14ac:dyDescent="0.25">
      <c r="A36" s="9">
        <v>9</v>
      </c>
      <c r="B36" s="9">
        <v>12</v>
      </c>
      <c r="C36" s="9" t="s">
        <v>8</v>
      </c>
      <c r="D36" s="9">
        <v>99</v>
      </c>
      <c r="E36" s="15">
        <v>4.1963339851818701E-2</v>
      </c>
      <c r="F36" s="13">
        <v>1.9830952728584299</v>
      </c>
      <c r="G36" s="13">
        <v>5.0155542116857701E-2</v>
      </c>
    </row>
    <row r="37" spans="1:7" customFormat="1" x14ac:dyDescent="0.25">
      <c r="A37" s="9">
        <v>9</v>
      </c>
      <c r="B37" s="9">
        <v>12</v>
      </c>
      <c r="C37" s="9" t="s">
        <v>9</v>
      </c>
      <c r="D37" s="9">
        <v>99</v>
      </c>
      <c r="E37" s="15">
        <v>2.6563546292623599E-2</v>
      </c>
      <c r="F37" s="13">
        <v>1.36957393403213</v>
      </c>
      <c r="G37" s="13">
        <v>0.17395011282650499</v>
      </c>
    </row>
    <row r="38" spans="1:7" customFormat="1" x14ac:dyDescent="0.25">
      <c r="A38" s="8">
        <v>12</v>
      </c>
      <c r="B38" s="8">
        <v>3</v>
      </c>
      <c r="C38" s="8" t="s">
        <v>7</v>
      </c>
      <c r="D38" s="8">
        <v>105</v>
      </c>
      <c r="E38" s="14">
        <v>-6.2206069450507998E-3</v>
      </c>
      <c r="F38" s="12">
        <v>-0.53583211527644603</v>
      </c>
      <c r="G38" s="12">
        <v>0.59321870892864503</v>
      </c>
    </row>
    <row r="39" spans="1:7" customFormat="1" x14ac:dyDescent="0.25">
      <c r="A39" s="8">
        <v>12</v>
      </c>
      <c r="B39" s="8">
        <v>3</v>
      </c>
      <c r="C39" s="8" t="s">
        <v>8</v>
      </c>
      <c r="D39" s="8">
        <v>105</v>
      </c>
      <c r="E39" s="14">
        <v>1.55610672921839E-2</v>
      </c>
      <c r="F39" s="12">
        <v>1.7682394061761799</v>
      </c>
      <c r="G39" s="12">
        <v>7.9953173706632505E-2</v>
      </c>
    </row>
    <row r="40" spans="1:7" customFormat="1" x14ac:dyDescent="0.25">
      <c r="A40" s="7">
        <v>12</v>
      </c>
      <c r="B40" s="7">
        <v>3</v>
      </c>
      <c r="C40" s="8" t="s">
        <v>9</v>
      </c>
      <c r="D40" s="8">
        <v>105</v>
      </c>
      <c r="E40" s="14">
        <v>2.1781674237234702E-2</v>
      </c>
      <c r="F40" s="12">
        <v>2.18444160507469</v>
      </c>
      <c r="G40" s="12">
        <v>3.1175742226854802E-2</v>
      </c>
    </row>
    <row r="41" spans="1:7" customFormat="1" x14ac:dyDescent="0.25">
      <c r="A41" s="9">
        <v>12</v>
      </c>
      <c r="B41" s="9">
        <v>6</v>
      </c>
      <c r="C41" s="9" t="s">
        <v>7</v>
      </c>
      <c r="D41" s="9">
        <v>102</v>
      </c>
      <c r="E41" s="15">
        <v>-6.9457633388909999E-4</v>
      </c>
      <c r="F41" s="13">
        <v>-4.6921789058382297E-2</v>
      </c>
      <c r="G41" s="13">
        <v>0.96266821624608201</v>
      </c>
    </row>
    <row r="42" spans="1:7" customFormat="1" x14ac:dyDescent="0.25">
      <c r="A42" s="9">
        <v>12</v>
      </c>
      <c r="B42" s="9">
        <v>6</v>
      </c>
      <c r="C42" s="9" t="s">
        <v>8</v>
      </c>
      <c r="D42" s="9">
        <v>102</v>
      </c>
      <c r="E42" s="15">
        <v>2.14332070845108E-2</v>
      </c>
      <c r="F42" s="13">
        <v>1.5868298092322599</v>
      </c>
      <c r="G42" s="13">
        <v>0.11567711128970599</v>
      </c>
    </row>
    <row r="43" spans="1:7" customFormat="1" x14ac:dyDescent="0.25">
      <c r="A43" s="9">
        <v>12</v>
      </c>
      <c r="B43" s="9">
        <v>6</v>
      </c>
      <c r="C43" s="9" t="s">
        <v>9</v>
      </c>
      <c r="D43" s="9">
        <v>102</v>
      </c>
      <c r="E43" s="15">
        <v>2.21277834183999E-2</v>
      </c>
      <c r="F43" s="13">
        <v>1.5686371069098901</v>
      </c>
      <c r="G43" s="13">
        <v>0.119860281551464</v>
      </c>
    </row>
    <row r="44" spans="1:7" customFormat="1" x14ac:dyDescent="0.25">
      <c r="A44" s="8">
        <v>12</v>
      </c>
      <c r="B44" s="8">
        <v>9</v>
      </c>
      <c r="C44" s="8" t="s">
        <v>7</v>
      </c>
      <c r="D44" s="8">
        <v>99</v>
      </c>
      <c r="E44" s="14">
        <v>1.7274350360729E-2</v>
      </c>
      <c r="F44" s="12">
        <v>0.96718798430602604</v>
      </c>
      <c r="G44" s="12">
        <v>0.335830909036957</v>
      </c>
    </row>
    <row r="45" spans="1:7" customFormat="1" x14ac:dyDescent="0.25">
      <c r="A45" s="8">
        <v>12</v>
      </c>
      <c r="B45" s="8">
        <v>9</v>
      </c>
      <c r="C45" s="8" t="s">
        <v>8</v>
      </c>
      <c r="D45" s="8">
        <v>99</v>
      </c>
      <c r="E45" s="14">
        <v>3.3700752615642197E-2</v>
      </c>
      <c r="F45" s="12">
        <v>1.9111876517641899</v>
      </c>
      <c r="G45" s="12">
        <v>5.8902534117065301E-2</v>
      </c>
    </row>
    <row r="46" spans="1:7" customFormat="1" x14ac:dyDescent="0.25">
      <c r="A46" s="8">
        <v>12</v>
      </c>
      <c r="B46" s="8">
        <v>9</v>
      </c>
      <c r="C46" s="8" t="s">
        <v>9</v>
      </c>
      <c r="D46" s="8">
        <v>99</v>
      </c>
      <c r="E46" s="14">
        <v>1.6426402254913201E-2</v>
      </c>
      <c r="F46" s="12">
        <v>0.93121947420209605</v>
      </c>
      <c r="G46" s="12">
        <v>0.35402843630614</v>
      </c>
    </row>
    <row r="47" spans="1:7" customFormat="1" x14ac:dyDescent="0.25">
      <c r="A47" s="9">
        <v>12</v>
      </c>
      <c r="B47" s="9">
        <v>12</v>
      </c>
      <c r="C47" s="9" t="s">
        <v>7</v>
      </c>
      <c r="D47" s="9">
        <v>96</v>
      </c>
      <c r="E47" s="15">
        <v>4.7582304856785398E-2</v>
      </c>
      <c r="F47" s="13">
        <v>2.1319726491645499</v>
      </c>
      <c r="G47" s="13">
        <v>3.5588701036567499E-2</v>
      </c>
    </row>
    <row r="48" spans="1:7" customFormat="1" x14ac:dyDescent="0.25">
      <c r="A48" s="9">
        <v>12</v>
      </c>
      <c r="B48" s="9">
        <v>12</v>
      </c>
      <c r="C48" s="9" t="s">
        <v>8</v>
      </c>
      <c r="D48" s="9">
        <v>96</v>
      </c>
      <c r="E48" s="15">
        <v>5.05347405509049E-2</v>
      </c>
      <c r="F48" s="13">
        <v>2.24675213526971</v>
      </c>
      <c r="G48" s="13">
        <v>2.6971310954366098E-2</v>
      </c>
    </row>
    <row r="49" spans="1:7" customFormat="1" x14ac:dyDescent="0.25">
      <c r="A49" s="9">
        <v>12</v>
      </c>
      <c r="B49" s="9">
        <v>12</v>
      </c>
      <c r="C49" s="9" t="s">
        <v>9</v>
      </c>
      <c r="D49" s="9">
        <v>96</v>
      </c>
      <c r="E49" s="15">
        <v>2.9524356941194999E-3</v>
      </c>
      <c r="F49" s="13">
        <v>0.12530451887434399</v>
      </c>
      <c r="G49" s="13">
        <v>0.90054726036784105</v>
      </c>
    </row>
  </sheetData>
  <autoFilter ref="A1:G49" xr:uid="{828DFD01-9D50-4EA6-A7DD-A0B766D34BA5}">
    <sortState xmlns:xlrd2="http://schemas.microsoft.com/office/spreadsheetml/2017/richdata2" ref="A2:G49">
      <sortCondition ref="A1"/>
    </sortState>
  </autoFilter>
  <phoneticPr fontId="19" type="noConversion"/>
  <conditionalFormatting sqref="E1:E1048576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G1:G1048576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merged_t_test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2025-07-14T14:52:33Z</dcterms:modified>
</cp:coreProperties>
</file>