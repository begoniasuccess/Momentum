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momentumNew\mergeTtestResult\"/>
    </mc:Choice>
  </mc:AlternateContent>
  <xr:revisionPtr revIDLastSave="0" documentId="13_ncr:1_{23951610-49A2-40CE-BD00-6D875E6D2AA7}" xr6:coauthVersionLast="47" xr6:coauthVersionMax="47" xr10:uidLastSave="{00000000-0000-0000-0000-000000000000}"/>
  <bookViews>
    <workbookView xWindow="-120" yWindow="-120" windowWidth="24240" windowHeight="13020" tabRatio="620" activeTab="3" xr2:uid="{79B926A8-815C-4ADE-A3A1-103001E1D343}"/>
  </bookViews>
  <sheets>
    <sheet name="mv150_10years" sheetId="1" r:id="rId1"/>
    <sheet name="mv150_15years" sheetId="2" r:id="rId2"/>
    <sheet name="priceOver10_10years" sheetId="3" r:id="rId3"/>
    <sheet name="priceOver10_15years" sheetId="8" r:id="rId4"/>
    <sheet name="工作表1" sheetId="4" r:id="rId5"/>
  </sheets>
  <definedNames>
    <definedName name="_xlnm._FilterDatabase" localSheetId="0" hidden="1">mv150_10years!$A$2:$G$50</definedName>
    <definedName name="_xlnm._FilterDatabase" localSheetId="1" hidden="1">mv150_15years!$A$2:$W$50</definedName>
    <definedName name="_xlnm._FilterDatabase" localSheetId="3" hidden="1">priceOver10_15years!$A$2:$W$50</definedName>
  </definedNames>
  <calcPr calcId="181029"/>
</workbook>
</file>

<file path=xl/calcChain.xml><?xml version="1.0" encoding="utf-8"?>
<calcChain xmlns="http://schemas.openxmlformats.org/spreadsheetml/2006/main">
  <c r="P9" i="4" l="1"/>
  <c r="P7" i="4"/>
  <c r="P5" i="4"/>
  <c r="O9" i="4"/>
  <c r="O7" i="4"/>
  <c r="O5" i="4"/>
  <c r="N9" i="4"/>
  <c r="N7" i="4"/>
  <c r="N5" i="4"/>
  <c r="M9" i="4"/>
  <c r="M7" i="4"/>
  <c r="M5" i="4"/>
  <c r="U29" i="8"/>
  <c r="V29" i="8"/>
  <c r="W29" i="8"/>
  <c r="T29" i="8"/>
  <c r="U27" i="8"/>
  <c r="V27" i="8"/>
  <c r="W27" i="8"/>
  <c r="T27" i="8"/>
  <c r="U25" i="8"/>
  <c r="V25" i="8"/>
  <c r="W25" i="8"/>
  <c r="T25" i="8"/>
  <c r="U23" i="8"/>
  <c r="V23" i="8"/>
  <c r="W23" i="8"/>
  <c r="T23" i="8"/>
  <c r="U21" i="8"/>
  <c r="V21" i="8"/>
  <c r="W21" i="8"/>
  <c r="T21" i="8"/>
  <c r="U19" i="8"/>
  <c r="V19" i="8"/>
  <c r="W19" i="8"/>
  <c r="T19" i="8"/>
  <c r="U17" i="8"/>
  <c r="V17" i="8"/>
  <c r="W17" i="8"/>
  <c r="T17" i="8"/>
  <c r="U15" i="8"/>
  <c r="V15" i="8"/>
  <c r="W15" i="8"/>
  <c r="T15" i="8"/>
  <c r="U13" i="8"/>
  <c r="V13" i="8"/>
  <c r="W13" i="8"/>
  <c r="T13" i="8"/>
  <c r="U11" i="8"/>
  <c r="V11" i="8"/>
  <c r="W11" i="8"/>
  <c r="T11" i="8"/>
  <c r="U9" i="8"/>
  <c r="V9" i="8"/>
  <c r="W9" i="8"/>
  <c r="T9" i="8"/>
  <c r="U7" i="8"/>
  <c r="V7" i="8"/>
  <c r="W7" i="8"/>
  <c r="T7" i="8"/>
  <c r="U29" i="3"/>
  <c r="V29" i="3"/>
  <c r="W29" i="3"/>
  <c r="T29" i="3"/>
  <c r="U27" i="3"/>
  <c r="V27" i="3"/>
  <c r="W27" i="3"/>
  <c r="T27" i="3"/>
  <c r="U25" i="3"/>
  <c r="V25" i="3"/>
  <c r="W25" i="3"/>
  <c r="T25" i="3"/>
  <c r="U23" i="3"/>
  <c r="V23" i="3"/>
  <c r="W23" i="3"/>
  <c r="T23" i="3"/>
  <c r="U21" i="3"/>
  <c r="V21" i="3"/>
  <c r="W21" i="3"/>
  <c r="T21" i="3"/>
  <c r="U19" i="3"/>
  <c r="V19" i="3"/>
  <c r="W19" i="3"/>
  <c r="T19" i="3"/>
  <c r="U17" i="3"/>
  <c r="V17" i="3"/>
  <c r="W17" i="3"/>
  <c r="T17" i="3"/>
  <c r="U15" i="3"/>
  <c r="V15" i="3"/>
  <c r="W15" i="3"/>
  <c r="T15" i="3"/>
  <c r="U13" i="3"/>
  <c r="V13" i="3"/>
  <c r="W13" i="3"/>
  <c r="T13" i="3"/>
  <c r="U11" i="3"/>
  <c r="V11" i="3"/>
  <c r="W11" i="3"/>
  <c r="T11" i="3"/>
  <c r="U9" i="3"/>
  <c r="V9" i="3"/>
  <c r="W9" i="3"/>
  <c r="T9" i="3"/>
  <c r="U7" i="3"/>
  <c r="V7" i="3"/>
  <c r="W7" i="3"/>
  <c r="T7" i="3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H3" i="8"/>
  <c r="U29" i="2"/>
  <c r="V29" i="2"/>
  <c r="W29" i="2"/>
  <c r="T29" i="2"/>
  <c r="U27" i="2"/>
  <c r="V27" i="2"/>
  <c r="W27" i="2"/>
  <c r="T27" i="2"/>
  <c r="U25" i="2"/>
  <c r="V25" i="2"/>
  <c r="W25" i="2"/>
  <c r="T25" i="2"/>
  <c r="U23" i="2"/>
  <c r="V23" i="2"/>
  <c r="W23" i="2"/>
  <c r="T23" i="2"/>
  <c r="U21" i="2"/>
  <c r="V21" i="2"/>
  <c r="W21" i="2"/>
  <c r="T21" i="2"/>
  <c r="U19" i="2"/>
  <c r="V19" i="2"/>
  <c r="W19" i="2"/>
  <c r="T19" i="2"/>
  <c r="U17" i="2"/>
  <c r="V17" i="2"/>
  <c r="W17" i="2"/>
  <c r="T17" i="2"/>
  <c r="U15" i="2"/>
  <c r="V15" i="2"/>
  <c r="W15" i="2"/>
  <c r="T15" i="2"/>
  <c r="U13" i="2"/>
  <c r="V13" i="2"/>
  <c r="W13" i="2"/>
  <c r="T13" i="2"/>
  <c r="U11" i="2"/>
  <c r="V11" i="2"/>
  <c r="W11" i="2"/>
  <c r="T11" i="2"/>
  <c r="U9" i="2"/>
  <c r="V9" i="2"/>
  <c r="W9" i="2"/>
  <c r="T9" i="2"/>
  <c r="U7" i="2"/>
  <c r="V7" i="2"/>
  <c r="W7" i="2"/>
  <c r="T7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U29" i="1"/>
  <c r="V29" i="1"/>
  <c r="W29" i="1"/>
  <c r="T29" i="1"/>
  <c r="U27" i="1"/>
  <c r="V27" i="1"/>
  <c r="W27" i="1"/>
  <c r="T27" i="1"/>
  <c r="U25" i="1"/>
  <c r="V25" i="1"/>
  <c r="W25" i="1"/>
  <c r="T25" i="1"/>
  <c r="U23" i="1"/>
  <c r="V23" i="1"/>
  <c r="W23" i="1"/>
  <c r="T23" i="1"/>
  <c r="U21" i="1"/>
  <c r="V21" i="1"/>
  <c r="W21" i="1"/>
  <c r="T21" i="1"/>
  <c r="U19" i="1"/>
  <c r="V19" i="1"/>
  <c r="W19" i="1"/>
  <c r="T19" i="1"/>
  <c r="U17" i="1"/>
  <c r="V17" i="1"/>
  <c r="W17" i="1"/>
  <c r="T17" i="1"/>
  <c r="U15" i="1"/>
  <c r="V15" i="1"/>
  <c r="W15" i="1"/>
  <c r="T15" i="1"/>
  <c r="U13" i="1"/>
  <c r="V13" i="1"/>
  <c r="W13" i="1"/>
  <c r="T13" i="1"/>
  <c r="U11" i="1"/>
  <c r="V11" i="1"/>
  <c r="W11" i="1"/>
  <c r="T11" i="1"/>
  <c r="U9" i="1"/>
  <c r="V9" i="1"/>
  <c r="W9" i="1"/>
  <c r="T9" i="1"/>
  <c r="U7" i="1"/>
  <c r="V7" i="1"/>
  <c r="W7" i="1"/>
  <c r="T7" i="1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<sst xmlns="http://schemas.openxmlformats.org/spreadsheetml/2006/main" count="582" uniqueCount="34">
  <si>
    <t>remark</t>
  </si>
  <si>
    <t>n</t>
  </si>
  <si>
    <t>mean</t>
  </si>
  <si>
    <t>t_stat</t>
  </si>
  <si>
    <t>p_value</t>
  </si>
  <si>
    <t>oPeriod</t>
  </si>
  <si>
    <t>hPeriod</t>
  </si>
  <si>
    <t>loser</t>
  </si>
  <si>
    <t>winner</t>
  </si>
  <si>
    <t>winner - loser</t>
  </si>
  <si>
    <t xml:space="preserve">K = </t>
    <phoneticPr fontId="19" type="noConversion"/>
  </si>
  <si>
    <t>J =</t>
    <phoneticPr fontId="19" type="noConversion"/>
  </si>
  <si>
    <t>3</t>
  </si>
  <si>
    <t>6</t>
  </si>
  <si>
    <t>9</t>
  </si>
  <si>
    <t>12</t>
  </si>
  <si>
    <t>J=</t>
    <phoneticPr fontId="19" type="noConversion"/>
  </si>
  <si>
    <t>K=</t>
    <phoneticPr fontId="19" type="noConversion"/>
  </si>
  <si>
    <t>Panel A：over10，2010~2019</t>
  </si>
  <si>
    <t>Panel A：over10，2010~2019</t>
    <phoneticPr fontId="19" type="noConversion"/>
  </si>
  <si>
    <t>Panel A：over10，2010~2024</t>
  </si>
  <si>
    <t>Panel A：over10，2010~2024</t>
    <phoneticPr fontId="19" type="noConversion"/>
  </si>
  <si>
    <t>Panel A：mv150，2010~2024</t>
    <phoneticPr fontId="19" type="noConversion"/>
  </si>
  <si>
    <t>avg_monthly</t>
    <phoneticPr fontId="19" type="noConversion"/>
  </si>
  <si>
    <t>annualized</t>
    <phoneticPr fontId="19" type="noConversion"/>
  </si>
  <si>
    <t>J=</t>
  </si>
  <si>
    <t>K=</t>
  </si>
  <si>
    <t>Panel A；mv150，2010~2019 (avg_monthly)</t>
    <phoneticPr fontId="19" type="noConversion"/>
  </si>
  <si>
    <t>Panel A：mv150，2010~2024 (avg_monthly)</t>
    <phoneticPr fontId="19" type="noConversion"/>
  </si>
  <si>
    <t>Panel A：over10，2010~2019 (avg_monthly)</t>
    <phoneticPr fontId="19" type="noConversion"/>
  </si>
  <si>
    <t>mv150_10years</t>
    <phoneticPr fontId="19" type="noConversion"/>
  </si>
  <si>
    <t>mv150_15years</t>
    <phoneticPr fontId="19" type="noConversion"/>
  </si>
  <si>
    <t>Panel A：over10，2010~2024 (avg_monthly)</t>
    <phoneticPr fontId="19" type="noConversion"/>
  </si>
  <si>
    <t>Panel A：mv150，2010~2019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</si>
</sst>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\(0.00\);\(\-0.00\)"/>
  </numFmts>
  <fonts count="2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 tint="-0.3499862666707357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0" tint="-0.499984740745262"/>
      </bottom>
      <diagonal/>
    </border>
    <border>
      <left/>
      <right style="thin">
        <color theme="2" tint="-0.499984740745262"/>
      </right>
      <top/>
      <bottom style="medium">
        <color theme="0" tint="-0.499984740745262"/>
      </bottom>
      <diagonal/>
    </border>
    <border>
      <left/>
      <right style="thin">
        <color theme="2" tint="-0.499984740745262"/>
      </right>
      <top style="medium">
        <color theme="0" tint="-0.499984740745262"/>
      </top>
      <bottom/>
      <diagonal/>
    </border>
    <border>
      <left/>
      <right style="thin">
        <color theme="2" tint="-0.499984740745262"/>
      </right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 style="dashDotDot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medium">
        <color theme="0" tint="-0.499984740745262"/>
      </bottom>
      <diagonal/>
    </border>
    <border>
      <left style="thin">
        <color theme="2" tint="-0.499984740745262"/>
      </left>
      <right/>
      <top style="medium">
        <color theme="0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0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/>
      <bottom style="dashDotDot">
        <color theme="2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theme="2" tint="-0.499984740745262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0" fontId="18" fillId="33" borderId="10" xfId="1" applyNumberFormat="1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0" fillId="34" borderId="10" xfId="0" applyNumberFormat="1" applyFont="1" applyFill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0" fontId="20" fillId="34" borderId="10" xfId="1" applyNumberFormat="1" applyFont="1" applyFill="1" applyBorder="1" applyAlignment="1">
      <alignment horizontal="center" vertical="center"/>
    </xf>
    <xf numFmtId="10" fontId="20" fillId="0" borderId="10" xfId="1" applyNumberFormat="1" applyFont="1" applyBorder="1" applyAlignment="1">
      <alignment horizontal="center" vertical="center"/>
    </xf>
    <xf numFmtId="10" fontId="20" fillId="0" borderId="0" xfId="1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22" fillId="0" borderId="19" xfId="0" applyNumberFormat="1" applyFont="1" applyBorder="1" applyAlignment="1">
      <alignment horizontal="center" vertical="center"/>
    </xf>
    <xf numFmtId="177" fontId="22" fillId="0" borderId="13" xfId="0" applyNumberFormat="1" applyFont="1" applyBorder="1" applyAlignment="1">
      <alignment horizontal="center" vertical="center"/>
    </xf>
    <xf numFmtId="177" fontId="22" fillId="0" borderId="17" xfId="0" applyNumberFormat="1" applyFont="1" applyBorder="1" applyAlignment="1">
      <alignment horizontal="center" vertical="center"/>
    </xf>
    <xf numFmtId="177" fontId="22" fillId="0" borderId="12" xfId="0" applyNumberFormat="1" applyFont="1" applyBorder="1" applyAlignment="1">
      <alignment horizontal="center" vertical="center"/>
    </xf>
    <xf numFmtId="177" fontId="22" fillId="0" borderId="14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18" fillId="0" borderId="20" xfId="0" applyFont="1" applyBorder="1" applyAlignment="1">
      <alignment horizontal="center" vertical="center"/>
    </xf>
    <xf numFmtId="0" fontId="18" fillId="0" borderId="15" xfId="0" applyFont="1" applyBorder="1" applyAlignment="1">
      <alignment horizontal="right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35" borderId="0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22" fillId="0" borderId="28" xfId="0" applyNumberFormat="1" applyFont="1" applyBorder="1" applyAlignment="1">
      <alignment horizontal="center" vertical="center"/>
    </xf>
    <xf numFmtId="10" fontId="22" fillId="0" borderId="0" xfId="0" applyNumberFormat="1" applyFont="1" applyBorder="1" applyAlignment="1">
      <alignment horizontal="center" vertical="center"/>
    </xf>
    <xf numFmtId="10" fontId="22" fillId="0" borderId="30" xfId="0" applyNumberFormat="1" applyFont="1" applyBorder="1" applyAlignment="1">
      <alignment horizontal="center" vertical="center"/>
    </xf>
    <xf numFmtId="177" fontId="22" fillId="0" borderId="32" xfId="0" applyNumberFormat="1" applyFont="1" applyBorder="1" applyAlignment="1">
      <alignment horizontal="center" vertical="center"/>
    </xf>
    <xf numFmtId="177" fontId="22" fillId="0" borderId="33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177" fontId="22" fillId="0" borderId="41" xfId="0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109"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FD01-9D50-4EA6-A7DD-A0B766D34BA5}">
  <dimension ref="A1:W59"/>
  <sheetViews>
    <sheetView topLeftCell="H1" zoomScaleNormal="100" workbookViewId="0">
      <pane ySplit="2" topLeftCell="A3" activePane="bottomLeft" state="frozen"/>
      <selection pane="bottomLeft" activeCell="P30" sqref="P30"/>
    </sheetView>
  </sheetViews>
  <sheetFormatPr defaultRowHeight="16.5"/>
  <cols>
    <col min="1" max="2" width="11.375" style="8" customWidth="1"/>
    <col min="3" max="3" width="17.375" style="8" customWidth="1"/>
    <col min="4" max="4" width="8.625" style="8" customWidth="1"/>
    <col min="5" max="5" width="13.25" style="13" customWidth="1"/>
    <col min="6" max="6" width="16" style="8" customWidth="1"/>
    <col min="7" max="7" width="15.75" style="8" customWidth="1"/>
    <col min="8" max="9" width="14.625" customWidth="1"/>
    <col min="11" max="11" width="10.625" customWidth="1"/>
    <col min="12" max="12" width="15.625" customWidth="1"/>
    <col min="13" max="18" width="10.625" customWidth="1"/>
    <col min="19" max="19" width="15.625" customWidth="1"/>
    <col min="20" max="23" width="10.625" customWidth="1"/>
  </cols>
  <sheetData>
    <row r="1" spans="1:23">
      <c r="A1" s="29" t="s">
        <v>33</v>
      </c>
      <c r="B1" s="29"/>
      <c r="C1" s="29"/>
      <c r="D1" s="29"/>
      <c r="E1" s="29"/>
      <c r="F1" s="29"/>
      <c r="G1" s="29"/>
      <c r="H1" s="29"/>
      <c r="I1" s="29"/>
    </row>
    <row r="2" spans="1:23" s="1" customFormat="1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23</v>
      </c>
      <c r="I2" s="4" t="s">
        <v>24</v>
      </c>
    </row>
    <row r="3" spans="1:23">
      <c r="A3" s="6">
        <v>3</v>
      </c>
      <c r="B3" s="6">
        <v>3</v>
      </c>
      <c r="C3" s="6" t="s">
        <v>7</v>
      </c>
      <c r="D3" s="6">
        <v>114</v>
      </c>
      <c r="E3" s="11">
        <v>3.0260421823129999E-4</v>
      </c>
      <c r="F3" s="9">
        <v>2.8355084394913299E-2</v>
      </c>
      <c r="G3" s="9">
        <v>0.97742896460482598</v>
      </c>
      <c r="H3" s="11">
        <f>(1 + E3)^(1 / B3) - 1</f>
        <v>1.0085790008584894E-4</v>
      </c>
      <c r="I3" s="11">
        <f>(1 + E3)^(12 / B3) - 1</f>
        <v>1.2109663996475728E-3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6">
        <v>3</v>
      </c>
      <c r="B4" s="6">
        <v>3</v>
      </c>
      <c r="C4" s="6" t="s">
        <v>8</v>
      </c>
      <c r="D4" s="6">
        <v>114</v>
      </c>
      <c r="E4" s="11">
        <v>3.0722210317410001E-2</v>
      </c>
      <c r="F4" s="9">
        <v>3.54698888875836</v>
      </c>
      <c r="G4" s="9">
        <v>5.6845064904419997E-4</v>
      </c>
      <c r="H4" s="11">
        <f t="shared" ref="H4:H50" si="0">(1 + E4)^(1 / B4) - 1</f>
        <v>1.0137618184604902E-2</v>
      </c>
      <c r="I4" s="11">
        <f t="shared" ref="I4:I50" si="1">(1 + E4)^(12 / B4) - 1</f>
        <v>0.12866884652092669</v>
      </c>
      <c r="K4" s="50" t="s">
        <v>33</v>
      </c>
      <c r="L4" s="51"/>
      <c r="M4" s="51"/>
      <c r="N4" s="51"/>
      <c r="O4" s="51"/>
      <c r="P4" s="52"/>
      <c r="R4" s="50" t="s">
        <v>27</v>
      </c>
      <c r="S4" s="51"/>
      <c r="T4" s="51"/>
      <c r="U4" s="51"/>
      <c r="V4" s="51"/>
      <c r="W4" s="52"/>
    </row>
    <row r="5" spans="1:23" ht="17.25" thickBot="1">
      <c r="A5" s="5">
        <v>3</v>
      </c>
      <c r="B5" s="5">
        <v>3</v>
      </c>
      <c r="C5" s="6" t="s">
        <v>9</v>
      </c>
      <c r="D5" s="6">
        <v>114</v>
      </c>
      <c r="E5" s="11">
        <v>3.0419606099178698E-2</v>
      </c>
      <c r="F5" s="9">
        <v>3.5780818191419801</v>
      </c>
      <c r="G5" s="9">
        <v>5.1106356269530005E-4</v>
      </c>
      <c r="H5" s="11">
        <f t="shared" si="0"/>
        <v>1.0038754876398048E-2</v>
      </c>
      <c r="I5" s="11">
        <f t="shared" si="1"/>
        <v>0.12734399071154945</v>
      </c>
      <c r="K5" s="53" t="s">
        <v>11</v>
      </c>
      <c r="L5" s="26" t="s">
        <v>10</v>
      </c>
      <c r="M5" s="27">
        <v>3</v>
      </c>
      <c r="N5" s="27">
        <v>6</v>
      </c>
      <c r="O5" s="27">
        <v>9</v>
      </c>
      <c r="P5" s="54">
        <v>12</v>
      </c>
      <c r="R5" s="53" t="s">
        <v>11</v>
      </c>
      <c r="S5" s="26" t="s">
        <v>10</v>
      </c>
      <c r="T5" s="27">
        <v>3</v>
      </c>
      <c r="U5" s="27">
        <v>6</v>
      </c>
      <c r="V5" s="27">
        <v>9</v>
      </c>
      <c r="W5" s="54">
        <v>12</v>
      </c>
    </row>
    <row r="6" spans="1:23" hidden="1">
      <c r="A6" s="7">
        <v>3</v>
      </c>
      <c r="B6" s="7">
        <v>6</v>
      </c>
      <c r="C6" s="7" t="s">
        <v>7</v>
      </c>
      <c r="D6" s="7">
        <v>111</v>
      </c>
      <c r="E6" s="12">
        <v>1.51301049852723E-2</v>
      </c>
      <c r="F6" s="10">
        <v>1.1443893939324601</v>
      </c>
      <c r="G6" s="10">
        <v>0.25494625406830401</v>
      </c>
      <c r="H6" s="12">
        <f t="shared" si="0"/>
        <v>2.5059323679579304E-3</v>
      </c>
      <c r="I6" s="12">
        <f t="shared" si="1"/>
        <v>3.048913004740994E-2</v>
      </c>
      <c r="K6" s="55">
        <v>3</v>
      </c>
      <c r="L6" s="39" t="s">
        <v>7</v>
      </c>
      <c r="M6" s="46">
        <v>3.0260421823129999E-4</v>
      </c>
      <c r="N6" s="46">
        <v>1.51301049852723E-2</v>
      </c>
      <c r="O6" s="46">
        <v>1.51244575442856E-2</v>
      </c>
      <c r="P6" s="47">
        <v>2.3280515551955899E-2</v>
      </c>
      <c r="R6" s="55">
        <v>3</v>
      </c>
      <c r="S6" s="39" t="s">
        <v>7</v>
      </c>
      <c r="T6" s="46">
        <v>1.0085790008584894E-4</v>
      </c>
      <c r="U6" s="46">
        <v>2.5059323679579304E-3</v>
      </c>
      <c r="V6" s="46">
        <v>1.669305435814783E-3</v>
      </c>
      <c r="W6" s="47">
        <v>1.9196450082001881E-3</v>
      </c>
    </row>
    <row r="7" spans="1:23" hidden="1">
      <c r="A7" s="7">
        <v>3</v>
      </c>
      <c r="B7" s="7">
        <v>6</v>
      </c>
      <c r="C7" s="7" t="s">
        <v>8</v>
      </c>
      <c r="D7" s="7">
        <v>111</v>
      </c>
      <c r="E7" s="12">
        <v>6.5631060309720005E-2</v>
      </c>
      <c r="F7" s="10">
        <v>4.6891959760591497</v>
      </c>
      <c r="G7" s="10">
        <v>7.9232025762956804E-6</v>
      </c>
      <c r="H7" s="12">
        <f t="shared" si="0"/>
        <v>1.0650848828871684E-2</v>
      </c>
      <c r="I7" s="12">
        <f t="shared" si="1"/>
        <v>0.13556955669681825</v>
      </c>
      <c r="K7" s="56"/>
      <c r="L7" s="31"/>
      <c r="M7" s="20">
        <v>-0.03</v>
      </c>
      <c r="N7" s="20">
        <v>1.1399999999999999</v>
      </c>
      <c r="O7" s="20">
        <v>0.96</v>
      </c>
      <c r="P7" s="45">
        <v>1.1599999999999999</v>
      </c>
      <c r="R7" s="56"/>
      <c r="S7" s="31"/>
      <c r="T7" s="20">
        <f>M7</f>
        <v>-0.03</v>
      </c>
      <c r="U7" s="20">
        <f t="shared" ref="U7:W7" si="2">N7</f>
        <v>1.1399999999999999</v>
      </c>
      <c r="V7" s="20">
        <f t="shared" si="2"/>
        <v>0.96</v>
      </c>
      <c r="W7" s="45">
        <f t="shared" si="2"/>
        <v>1.1599999999999999</v>
      </c>
    </row>
    <row r="8" spans="1:23" hidden="1">
      <c r="A8" s="2">
        <v>3</v>
      </c>
      <c r="B8" s="2">
        <v>6</v>
      </c>
      <c r="C8" s="7" t="s">
        <v>9</v>
      </c>
      <c r="D8" s="7">
        <v>111</v>
      </c>
      <c r="E8" s="12">
        <v>5.0500955324447698E-2</v>
      </c>
      <c r="F8" s="10">
        <v>3.8236782043989401</v>
      </c>
      <c r="G8" s="10">
        <v>2.184178713642E-4</v>
      </c>
      <c r="H8" s="12">
        <f t="shared" si="0"/>
        <v>8.2449960801396216E-3</v>
      </c>
      <c r="I8" s="12">
        <f t="shared" si="1"/>
        <v>0.10355225713757732</v>
      </c>
      <c r="K8" s="56"/>
      <c r="L8" s="32" t="s">
        <v>8</v>
      </c>
      <c r="M8" s="46">
        <v>3.0722210317410001E-2</v>
      </c>
      <c r="N8" s="46">
        <v>6.5631060309720005E-2</v>
      </c>
      <c r="O8" s="46">
        <v>9.0526528336692905E-2</v>
      </c>
      <c r="P8" s="47">
        <v>9.33097832882889E-2</v>
      </c>
      <c r="R8" s="56"/>
      <c r="S8" s="32" t="s">
        <v>8</v>
      </c>
      <c r="T8" s="46">
        <v>1.0137618184604902E-2</v>
      </c>
      <c r="U8" s="46">
        <v>1.0650848828871684E-2</v>
      </c>
      <c r="V8" s="46">
        <v>9.6754668177969627E-3</v>
      </c>
      <c r="W8" s="47">
        <v>7.4618345874273295E-3</v>
      </c>
    </row>
    <row r="9" spans="1:23" hidden="1">
      <c r="A9" s="6">
        <v>3</v>
      </c>
      <c r="B9" s="6">
        <v>9</v>
      </c>
      <c r="C9" s="6" t="s">
        <v>7</v>
      </c>
      <c r="D9" s="6">
        <v>108</v>
      </c>
      <c r="E9" s="11">
        <v>1.51244575442856E-2</v>
      </c>
      <c r="F9" s="9">
        <v>0.95653052500906299</v>
      </c>
      <c r="G9" s="9">
        <v>0.34096046080184</v>
      </c>
      <c r="H9" s="11">
        <f t="shared" si="0"/>
        <v>1.669305435814783E-3</v>
      </c>
      <c r="I9" s="11">
        <f t="shared" si="1"/>
        <v>2.0216606769791312E-2</v>
      </c>
      <c r="K9" s="56"/>
      <c r="L9" s="31"/>
      <c r="M9" s="20">
        <v>3.55</v>
      </c>
      <c r="N9" s="20">
        <v>4.6900000000000004</v>
      </c>
      <c r="O9" s="20">
        <v>5.15</v>
      </c>
      <c r="P9" s="45">
        <v>4.41</v>
      </c>
      <c r="R9" s="56"/>
      <c r="S9" s="31"/>
      <c r="T9" s="20">
        <f>M9</f>
        <v>3.55</v>
      </c>
      <c r="U9" s="20">
        <f t="shared" ref="U9:W9" si="3">N9</f>
        <v>4.6900000000000004</v>
      </c>
      <c r="V9" s="20">
        <f t="shared" si="3"/>
        <v>5.15</v>
      </c>
      <c r="W9" s="45">
        <f t="shared" si="3"/>
        <v>4.41</v>
      </c>
    </row>
    <row r="10" spans="1:23">
      <c r="A10" s="6">
        <v>3</v>
      </c>
      <c r="B10" s="6">
        <v>9</v>
      </c>
      <c r="C10" s="6" t="s">
        <v>8</v>
      </c>
      <c r="D10" s="6">
        <v>108</v>
      </c>
      <c r="E10" s="11">
        <v>9.0526528336692905E-2</v>
      </c>
      <c r="F10" s="9">
        <v>5.1462038766068803</v>
      </c>
      <c r="G10" s="9">
        <v>1.2141876138480901E-6</v>
      </c>
      <c r="H10" s="11">
        <f t="shared" si="0"/>
        <v>9.6754668177969627E-3</v>
      </c>
      <c r="I10" s="11">
        <f t="shared" si="1"/>
        <v>0.12248784361900267</v>
      </c>
      <c r="K10" s="56"/>
      <c r="L10" s="33" t="s">
        <v>9</v>
      </c>
      <c r="M10" s="46">
        <v>3.0419606099178698E-2</v>
      </c>
      <c r="N10" s="46">
        <v>5.0500955324447698E-2</v>
      </c>
      <c r="O10" s="46">
        <v>7.5402070792407294E-2</v>
      </c>
      <c r="P10" s="47">
        <v>7.0029267736333001E-2</v>
      </c>
      <c r="R10" s="56"/>
      <c r="S10" s="33" t="s">
        <v>9</v>
      </c>
      <c r="T10" s="46">
        <v>1.0038754876398048E-2</v>
      </c>
      <c r="U10" s="46">
        <v>8.2449960801396216E-3</v>
      </c>
      <c r="V10" s="46">
        <v>8.1098874141820598E-3</v>
      </c>
      <c r="W10" s="47">
        <v>5.6564376655499071E-3</v>
      </c>
    </row>
    <row r="11" spans="1:23">
      <c r="A11" s="5">
        <v>3</v>
      </c>
      <c r="B11" s="5">
        <v>9</v>
      </c>
      <c r="C11" s="6" t="s">
        <v>9</v>
      </c>
      <c r="D11" s="6">
        <v>108</v>
      </c>
      <c r="E11" s="11">
        <v>7.5402070792407294E-2</v>
      </c>
      <c r="F11" s="9">
        <v>4.4945377822361303</v>
      </c>
      <c r="G11" s="9">
        <v>1.7724280876774E-5</v>
      </c>
      <c r="H11" s="11">
        <f t="shared" si="0"/>
        <v>8.1098874141820598E-3</v>
      </c>
      <c r="I11" s="11">
        <f t="shared" si="1"/>
        <v>0.1017790020240632</v>
      </c>
      <c r="K11" s="57"/>
      <c r="L11" s="34"/>
      <c r="M11" s="22">
        <v>3.58</v>
      </c>
      <c r="N11" s="22">
        <v>3.82</v>
      </c>
      <c r="O11" s="22">
        <v>4.49</v>
      </c>
      <c r="P11" s="58">
        <v>3.39</v>
      </c>
      <c r="R11" s="57"/>
      <c r="S11" s="34"/>
      <c r="T11" s="22">
        <f>M11</f>
        <v>3.58</v>
      </c>
      <c r="U11" s="22">
        <f t="shared" ref="U11:W11" si="4">N11</f>
        <v>3.82</v>
      </c>
      <c r="V11" s="22">
        <f t="shared" si="4"/>
        <v>4.49</v>
      </c>
      <c r="W11" s="58">
        <f t="shared" si="4"/>
        <v>3.39</v>
      </c>
    </row>
    <row r="12" spans="1:23" hidden="1">
      <c r="A12" s="7">
        <v>3</v>
      </c>
      <c r="B12" s="7">
        <v>12</v>
      </c>
      <c r="C12" s="7" t="s">
        <v>7</v>
      </c>
      <c r="D12" s="7">
        <v>105</v>
      </c>
      <c r="E12" s="12">
        <v>2.3280515551955899E-2</v>
      </c>
      <c r="F12" s="10">
        <v>1.1620071159640999</v>
      </c>
      <c r="G12" s="10">
        <v>0.24789234222405299</v>
      </c>
      <c r="H12" s="12">
        <f t="shared" si="0"/>
        <v>1.9196450082001881E-3</v>
      </c>
      <c r="I12" s="12">
        <f t="shared" si="1"/>
        <v>2.3280515551955983E-2</v>
      </c>
      <c r="K12" s="59">
        <v>6</v>
      </c>
      <c r="L12" s="30" t="s">
        <v>7</v>
      </c>
      <c r="M12" s="46">
        <v>4.7735012474096001E-3</v>
      </c>
      <c r="N12" s="46">
        <v>1.89783044088855E-2</v>
      </c>
      <c r="O12" s="46">
        <v>1.99711867006667E-2</v>
      </c>
      <c r="P12" s="47">
        <v>3.0649711185840801E-2</v>
      </c>
      <c r="R12" s="59">
        <v>6</v>
      </c>
      <c r="S12" s="30" t="s">
        <v>7</v>
      </c>
      <c r="T12" s="46">
        <v>1.5886419627213488E-3</v>
      </c>
      <c r="U12" s="46">
        <v>3.1383247542779991E-3</v>
      </c>
      <c r="V12" s="46">
        <v>2.1995686836266959E-3</v>
      </c>
      <c r="W12" s="47">
        <v>2.5189498146063194E-3</v>
      </c>
    </row>
    <row r="13" spans="1:23" hidden="1">
      <c r="A13" s="7">
        <v>3</v>
      </c>
      <c r="B13" s="7">
        <v>12</v>
      </c>
      <c r="C13" s="7" t="s">
        <v>8</v>
      </c>
      <c r="D13" s="7">
        <v>105</v>
      </c>
      <c r="E13" s="12">
        <v>9.33097832882889E-2</v>
      </c>
      <c r="F13" s="10">
        <v>4.4123635783784998</v>
      </c>
      <c r="G13" s="10">
        <v>2.5034503907783899E-5</v>
      </c>
      <c r="H13" s="12">
        <f t="shared" si="0"/>
        <v>7.4618345874273295E-3</v>
      </c>
      <c r="I13" s="12">
        <f t="shared" si="1"/>
        <v>9.3309783288288983E-2</v>
      </c>
      <c r="K13" s="56"/>
      <c r="L13" s="31"/>
      <c r="M13" s="20">
        <v>0.45</v>
      </c>
      <c r="N13" s="20">
        <v>1.35</v>
      </c>
      <c r="O13" s="20">
        <v>1.2</v>
      </c>
      <c r="P13" s="45">
        <v>1.53</v>
      </c>
      <c r="R13" s="56"/>
      <c r="S13" s="31"/>
      <c r="T13" s="20">
        <f>M13</f>
        <v>0.45</v>
      </c>
      <c r="U13" s="20">
        <f t="shared" ref="U13:W13" si="5">N13</f>
        <v>1.35</v>
      </c>
      <c r="V13" s="20">
        <f t="shared" si="5"/>
        <v>1.2</v>
      </c>
      <c r="W13" s="45">
        <f t="shared" si="5"/>
        <v>1.53</v>
      </c>
    </row>
    <row r="14" spans="1:23" hidden="1">
      <c r="A14" s="2">
        <v>3</v>
      </c>
      <c r="B14" s="2">
        <v>12</v>
      </c>
      <c r="C14" s="7" t="s">
        <v>9</v>
      </c>
      <c r="D14" s="7">
        <v>105</v>
      </c>
      <c r="E14" s="12">
        <v>7.0029267736333001E-2</v>
      </c>
      <c r="F14" s="10">
        <v>3.3910500846225302</v>
      </c>
      <c r="G14" s="10">
        <v>9.8533179837500011E-4</v>
      </c>
      <c r="H14" s="12">
        <f t="shared" si="0"/>
        <v>5.6564376655499071E-3</v>
      </c>
      <c r="I14" s="12">
        <f t="shared" si="1"/>
        <v>7.0029267736333001E-2</v>
      </c>
      <c r="K14" s="56"/>
      <c r="L14" s="32" t="s">
        <v>8</v>
      </c>
      <c r="M14" s="46">
        <v>2.7115683765055399E-2</v>
      </c>
      <c r="N14" s="46">
        <v>5.4315765000363898E-2</v>
      </c>
      <c r="O14" s="46">
        <v>6.03256929965394E-2</v>
      </c>
      <c r="P14" s="47">
        <v>5.3065850483251402E-2</v>
      </c>
      <c r="R14" s="56"/>
      <c r="S14" s="32" t="s">
        <v>8</v>
      </c>
      <c r="T14" s="46">
        <v>8.9580745357971114E-3</v>
      </c>
      <c r="U14" s="46">
        <v>8.8543015551387771E-3</v>
      </c>
      <c r="V14" s="46">
        <v>6.5296836430313032E-3</v>
      </c>
      <c r="W14" s="47">
        <v>4.318110224974081E-3</v>
      </c>
    </row>
    <row r="15" spans="1:23" hidden="1">
      <c r="A15" s="6">
        <v>6</v>
      </c>
      <c r="B15" s="6">
        <v>3</v>
      </c>
      <c r="C15" s="6" t="s">
        <v>7</v>
      </c>
      <c r="D15" s="6">
        <v>111</v>
      </c>
      <c r="E15" s="11">
        <v>4.7735012474096001E-3</v>
      </c>
      <c r="F15" s="9">
        <v>0.44911286122773603</v>
      </c>
      <c r="G15" s="9">
        <v>0.65423383389473</v>
      </c>
      <c r="H15" s="11">
        <f t="shared" si="0"/>
        <v>1.5886419627213488E-3</v>
      </c>
      <c r="I15" s="11">
        <f t="shared" si="1"/>
        <v>1.9231158475804699E-2</v>
      </c>
      <c r="K15" s="56"/>
      <c r="L15" s="31"/>
      <c r="M15" s="20">
        <v>3.14</v>
      </c>
      <c r="N15" s="20">
        <v>4.18</v>
      </c>
      <c r="O15" s="20">
        <v>3.61</v>
      </c>
      <c r="P15" s="45">
        <v>2.67</v>
      </c>
      <c r="R15" s="56"/>
      <c r="S15" s="31"/>
      <c r="T15" s="20">
        <f>M15</f>
        <v>3.14</v>
      </c>
      <c r="U15" s="20">
        <f t="shared" ref="U15:W15" si="6">N15</f>
        <v>4.18</v>
      </c>
      <c r="V15" s="20">
        <f t="shared" si="6"/>
        <v>3.61</v>
      </c>
      <c r="W15" s="45">
        <f t="shared" si="6"/>
        <v>2.67</v>
      </c>
    </row>
    <row r="16" spans="1:23">
      <c r="A16" s="6">
        <v>6</v>
      </c>
      <c r="B16" s="6">
        <v>3</v>
      </c>
      <c r="C16" s="6" t="s">
        <v>8</v>
      </c>
      <c r="D16" s="6">
        <v>111</v>
      </c>
      <c r="E16" s="11">
        <v>2.7115683765055399E-2</v>
      </c>
      <c r="F16" s="9">
        <v>3.13615113483938</v>
      </c>
      <c r="G16" s="9">
        <v>2.1961835765053998E-3</v>
      </c>
      <c r="H16" s="11">
        <f t="shared" si="0"/>
        <v>8.9580745357971114E-3</v>
      </c>
      <c r="I16" s="11">
        <f t="shared" si="1"/>
        <v>0.11295458584799345</v>
      </c>
      <c r="K16" s="56"/>
      <c r="L16" s="33" t="s">
        <v>9</v>
      </c>
      <c r="M16" s="46">
        <v>2.23421825176458E-2</v>
      </c>
      <c r="N16" s="46">
        <v>3.5337460591478298E-2</v>
      </c>
      <c r="O16" s="46">
        <v>4.0354506295872603E-2</v>
      </c>
      <c r="P16" s="47">
        <v>2.2416139297410601E-2</v>
      </c>
      <c r="R16" s="56"/>
      <c r="S16" s="33" t="s">
        <v>9</v>
      </c>
      <c r="T16" s="46">
        <v>7.3926088368039267E-3</v>
      </c>
      <c r="U16" s="46">
        <v>5.804686019913019E-3</v>
      </c>
      <c r="V16" s="46">
        <v>4.4054005390099515E-3</v>
      </c>
      <c r="W16" s="47">
        <v>1.8490899802272587E-3</v>
      </c>
    </row>
    <row r="17" spans="1:23">
      <c r="A17" s="5">
        <v>6</v>
      </c>
      <c r="B17" s="5">
        <v>3</v>
      </c>
      <c r="C17" s="6" t="s">
        <v>9</v>
      </c>
      <c r="D17" s="6">
        <v>111</v>
      </c>
      <c r="E17" s="11">
        <v>2.23421825176458E-2</v>
      </c>
      <c r="F17" s="9">
        <v>2.6870396316370502</v>
      </c>
      <c r="G17" s="9">
        <v>8.3279350537053005E-3</v>
      </c>
      <c r="H17" s="11">
        <f t="shared" si="0"/>
        <v>7.3926088368039267E-3</v>
      </c>
      <c r="I17" s="11">
        <f t="shared" si="1"/>
        <v>9.2408628430085793E-2</v>
      </c>
      <c r="K17" s="57"/>
      <c r="L17" s="34"/>
      <c r="M17" s="22">
        <v>2.69</v>
      </c>
      <c r="N17" s="22">
        <v>2.98</v>
      </c>
      <c r="O17" s="22">
        <v>2.71</v>
      </c>
      <c r="P17" s="58">
        <v>1.26</v>
      </c>
      <c r="R17" s="57"/>
      <c r="S17" s="34"/>
      <c r="T17" s="22">
        <f>M17</f>
        <v>2.69</v>
      </c>
      <c r="U17" s="22">
        <f t="shared" ref="U17:W17" si="7">N17</f>
        <v>2.98</v>
      </c>
      <c r="V17" s="22">
        <f t="shared" si="7"/>
        <v>2.71</v>
      </c>
      <c r="W17" s="58">
        <f t="shared" si="7"/>
        <v>1.26</v>
      </c>
    </row>
    <row r="18" spans="1:23" hidden="1">
      <c r="A18" s="7">
        <v>6</v>
      </c>
      <c r="B18" s="7">
        <v>6</v>
      </c>
      <c r="C18" s="7" t="s">
        <v>7</v>
      </c>
      <c r="D18" s="7">
        <v>108</v>
      </c>
      <c r="E18" s="12">
        <v>1.89783044088855E-2</v>
      </c>
      <c r="F18" s="10">
        <v>1.34747042886984</v>
      </c>
      <c r="G18" s="10">
        <v>0.18067514945157101</v>
      </c>
      <c r="H18" s="12">
        <f t="shared" si="0"/>
        <v>3.1383247542779991E-3</v>
      </c>
      <c r="I18" s="12">
        <f t="shared" si="1"/>
        <v>3.8316784856007535E-2</v>
      </c>
      <c r="K18" s="59">
        <v>9</v>
      </c>
      <c r="L18" s="30" t="s">
        <v>7</v>
      </c>
      <c r="M18" s="46">
        <v>5.9719290995810005E-4</v>
      </c>
      <c r="N18" s="46">
        <v>6.1873933427599999E-4</v>
      </c>
      <c r="O18" s="46">
        <v>1.523367447362E-3</v>
      </c>
      <c r="P18" s="47">
        <v>1.5399793559194999E-2</v>
      </c>
      <c r="R18" s="59">
        <v>9</v>
      </c>
      <c r="S18" s="30" t="s">
        <v>7</v>
      </c>
      <c r="T18" s="46">
        <v>1.9902468986443544E-4</v>
      </c>
      <c r="U18" s="46">
        <v>1.0309664643015637E-4</v>
      </c>
      <c r="V18" s="46">
        <v>1.6914855958538588E-4</v>
      </c>
      <c r="W18" s="47">
        <v>1.2743463085289619E-3</v>
      </c>
    </row>
    <row r="19" spans="1:23" hidden="1">
      <c r="A19" s="7">
        <v>6</v>
      </c>
      <c r="B19" s="7">
        <v>6</v>
      </c>
      <c r="C19" s="7" t="s">
        <v>8</v>
      </c>
      <c r="D19" s="7">
        <v>108</v>
      </c>
      <c r="E19" s="12">
        <v>5.4315765000363898E-2</v>
      </c>
      <c r="F19" s="10">
        <v>4.1771525637975904</v>
      </c>
      <c r="G19" s="10">
        <v>6.0419980721123302E-5</v>
      </c>
      <c r="H19" s="12">
        <f t="shared" si="0"/>
        <v>8.8543015551387771E-3</v>
      </c>
      <c r="I19" s="12">
        <f t="shared" si="1"/>
        <v>0.11158173232830237</v>
      </c>
      <c r="K19" s="56"/>
      <c r="L19" s="31"/>
      <c r="M19" s="20">
        <v>0.05</v>
      </c>
      <c r="N19" s="20">
        <v>0.04</v>
      </c>
      <c r="O19" s="20">
        <v>0.09</v>
      </c>
      <c r="P19" s="45">
        <v>0.79</v>
      </c>
      <c r="R19" s="56"/>
      <c r="S19" s="31"/>
      <c r="T19" s="20">
        <f>M19</f>
        <v>0.05</v>
      </c>
      <c r="U19" s="20">
        <f t="shared" ref="U19:W19" si="8">N19</f>
        <v>0.04</v>
      </c>
      <c r="V19" s="20">
        <f t="shared" si="8"/>
        <v>0.09</v>
      </c>
      <c r="W19" s="45">
        <f t="shared" si="8"/>
        <v>0.79</v>
      </c>
    </row>
    <row r="20" spans="1:23" hidden="1">
      <c r="A20" s="2">
        <v>6</v>
      </c>
      <c r="B20" s="2">
        <v>6</v>
      </c>
      <c r="C20" s="7" t="s">
        <v>9</v>
      </c>
      <c r="D20" s="7">
        <v>108</v>
      </c>
      <c r="E20" s="12">
        <v>3.5337460591478298E-2</v>
      </c>
      <c r="F20" s="10">
        <v>2.98291024159405</v>
      </c>
      <c r="G20" s="10">
        <v>3.5367985366198001E-3</v>
      </c>
      <c r="H20" s="12">
        <f t="shared" si="0"/>
        <v>5.804686019913019E-3</v>
      </c>
      <c r="I20" s="12">
        <f t="shared" si="1"/>
        <v>7.1923657304010735E-2</v>
      </c>
      <c r="K20" s="56"/>
      <c r="L20" s="32" t="s">
        <v>8</v>
      </c>
      <c r="M20" s="46">
        <v>2.8474975298435901E-2</v>
      </c>
      <c r="N20" s="46">
        <v>4.1623593254200397E-2</v>
      </c>
      <c r="O20" s="46">
        <v>4.0294606718451698E-2</v>
      </c>
      <c r="P20" s="47">
        <v>4.1963339851818701E-2</v>
      </c>
      <c r="R20" s="56"/>
      <c r="S20" s="32" t="s">
        <v>8</v>
      </c>
      <c r="T20" s="46">
        <v>9.4029655482583685E-3</v>
      </c>
      <c r="U20" s="46">
        <v>6.8199243521955832E-3</v>
      </c>
      <c r="V20" s="46">
        <v>4.3989748448740595E-3</v>
      </c>
      <c r="W20" s="47">
        <v>3.4314372997850118E-3</v>
      </c>
    </row>
    <row r="21" spans="1:23" hidden="1">
      <c r="A21" s="6">
        <v>6</v>
      </c>
      <c r="B21" s="6">
        <v>9</v>
      </c>
      <c r="C21" s="6" t="s">
        <v>7</v>
      </c>
      <c r="D21" s="6">
        <v>105</v>
      </c>
      <c r="E21" s="11">
        <v>1.99711867006667E-2</v>
      </c>
      <c r="F21" s="9">
        <v>1.20457814144487</v>
      </c>
      <c r="G21" s="9">
        <v>0.231100321207518</v>
      </c>
      <c r="H21" s="11">
        <f t="shared" si="0"/>
        <v>2.1995686836266959E-3</v>
      </c>
      <c r="I21" s="11">
        <f t="shared" si="1"/>
        <v>2.6716491771458628E-2</v>
      </c>
      <c r="K21" s="56"/>
      <c r="L21" s="31"/>
      <c r="M21" s="20">
        <v>3.23</v>
      </c>
      <c r="N21" s="20">
        <v>3.18</v>
      </c>
      <c r="O21" s="20">
        <v>2.48</v>
      </c>
      <c r="P21" s="45">
        <v>1.98</v>
      </c>
      <c r="R21" s="56"/>
      <c r="S21" s="31"/>
      <c r="T21" s="20">
        <f>M21</f>
        <v>3.23</v>
      </c>
      <c r="U21" s="20">
        <f t="shared" ref="U21:W21" si="9">N21</f>
        <v>3.18</v>
      </c>
      <c r="V21" s="20">
        <f t="shared" si="9"/>
        <v>2.48</v>
      </c>
      <c r="W21" s="45">
        <f t="shared" si="9"/>
        <v>1.98</v>
      </c>
    </row>
    <row r="22" spans="1:23">
      <c r="A22" s="6">
        <v>6</v>
      </c>
      <c r="B22" s="6">
        <v>9</v>
      </c>
      <c r="C22" s="6" t="s">
        <v>8</v>
      </c>
      <c r="D22" s="6">
        <v>105</v>
      </c>
      <c r="E22" s="11">
        <v>6.03256929965394E-2</v>
      </c>
      <c r="F22" s="9">
        <v>3.6065100358000701</v>
      </c>
      <c r="G22" s="9">
        <v>4.7856639655370002E-4</v>
      </c>
      <c r="H22" s="11">
        <f t="shared" si="0"/>
        <v>6.5296836430313032E-3</v>
      </c>
      <c r="I22" s="11">
        <f t="shared" si="1"/>
        <v>8.123238878088701E-2</v>
      </c>
      <c r="K22" s="56"/>
      <c r="L22" s="33" t="s">
        <v>9</v>
      </c>
      <c r="M22" s="46">
        <v>2.7877782388477702E-2</v>
      </c>
      <c r="N22" s="46">
        <v>4.1004853919924297E-2</v>
      </c>
      <c r="O22" s="46">
        <v>3.8771239271089601E-2</v>
      </c>
      <c r="P22" s="47">
        <v>2.6563546292623599E-2</v>
      </c>
      <c r="R22" s="56"/>
      <c r="S22" s="33" t="s">
        <v>9</v>
      </c>
      <c r="T22" s="46">
        <v>9.2075548603509638E-3</v>
      </c>
      <c r="U22" s="46">
        <v>6.7202220963693549E-3</v>
      </c>
      <c r="V22" s="46">
        <v>4.2354458019948638E-3</v>
      </c>
      <c r="W22" s="47">
        <v>2.1871267258086746E-3</v>
      </c>
    </row>
    <row r="23" spans="1:23">
      <c r="A23" s="5">
        <v>6</v>
      </c>
      <c r="B23" s="5">
        <v>9</v>
      </c>
      <c r="C23" s="6" t="s">
        <v>9</v>
      </c>
      <c r="D23" s="6">
        <v>105</v>
      </c>
      <c r="E23" s="11">
        <v>4.0354506295872603E-2</v>
      </c>
      <c r="F23" s="9">
        <v>2.7064255503855201</v>
      </c>
      <c r="G23" s="9">
        <v>7.9506872459265999E-3</v>
      </c>
      <c r="H23" s="11">
        <f t="shared" si="0"/>
        <v>4.4054005390099515E-3</v>
      </c>
      <c r="I23" s="11">
        <f t="shared" si="1"/>
        <v>5.4164702361040984E-2</v>
      </c>
      <c r="K23" s="57"/>
      <c r="L23" s="34"/>
      <c r="M23" s="22">
        <v>2.89</v>
      </c>
      <c r="N23" s="22">
        <v>3.27</v>
      </c>
      <c r="O23" s="22">
        <v>2.48</v>
      </c>
      <c r="P23" s="58">
        <v>1.37</v>
      </c>
      <c r="R23" s="57"/>
      <c r="S23" s="34"/>
      <c r="T23" s="22">
        <f>M23</f>
        <v>2.89</v>
      </c>
      <c r="U23" s="22">
        <f t="shared" ref="U23:W23" si="10">N23</f>
        <v>3.27</v>
      </c>
      <c r="V23" s="22">
        <f t="shared" si="10"/>
        <v>2.48</v>
      </c>
      <c r="W23" s="58">
        <f t="shared" si="10"/>
        <v>1.37</v>
      </c>
    </row>
    <row r="24" spans="1:23" hidden="1">
      <c r="A24" s="7">
        <v>6</v>
      </c>
      <c r="B24" s="7">
        <v>12</v>
      </c>
      <c r="C24" s="7" t="s">
        <v>7</v>
      </c>
      <c r="D24" s="7">
        <v>102</v>
      </c>
      <c r="E24" s="12">
        <v>3.0649711185840801E-2</v>
      </c>
      <c r="F24" s="10">
        <v>1.5309333480479801</v>
      </c>
      <c r="G24" s="10">
        <v>0.12891208974354801</v>
      </c>
      <c r="H24" s="12">
        <f t="shared" si="0"/>
        <v>2.5189498146063194E-3</v>
      </c>
      <c r="I24" s="12">
        <f t="shared" si="1"/>
        <v>3.0649711185840811E-2</v>
      </c>
      <c r="K24" s="59">
        <v>12</v>
      </c>
      <c r="L24" s="30" t="s">
        <v>7</v>
      </c>
      <c r="M24" s="46">
        <v>-6.2206069450507998E-3</v>
      </c>
      <c r="N24" s="46">
        <v>-6.9457633388909999E-4</v>
      </c>
      <c r="O24" s="46">
        <v>1.7274350360729E-2</v>
      </c>
      <c r="P24" s="47">
        <v>4.7582304856785398E-2</v>
      </c>
      <c r="R24" s="59">
        <v>12</v>
      </c>
      <c r="S24" s="30" t="s">
        <v>7</v>
      </c>
      <c r="T24" s="46">
        <v>-2.0778501191220933E-3</v>
      </c>
      <c r="U24" s="46">
        <v>-1.1579623906210479E-4</v>
      </c>
      <c r="V24" s="46">
        <v>1.9047946045160913E-3</v>
      </c>
      <c r="W24" s="47">
        <v>3.8812578470888148E-3</v>
      </c>
    </row>
    <row r="25" spans="1:23" hidden="1">
      <c r="A25" s="7">
        <v>6</v>
      </c>
      <c r="B25" s="7">
        <v>12</v>
      </c>
      <c r="C25" s="7" t="s">
        <v>8</v>
      </c>
      <c r="D25" s="7">
        <v>102</v>
      </c>
      <c r="E25" s="12">
        <v>5.3065850483251402E-2</v>
      </c>
      <c r="F25" s="10">
        <v>2.6749590287444098</v>
      </c>
      <c r="G25" s="10">
        <v>8.7196464352812999E-3</v>
      </c>
      <c r="H25" s="12">
        <f t="shared" si="0"/>
        <v>4.318110224974081E-3</v>
      </c>
      <c r="I25" s="12">
        <f t="shared" si="1"/>
        <v>5.3065850483251298E-2</v>
      </c>
      <c r="K25" s="56"/>
      <c r="L25" s="31"/>
      <c r="M25" s="20">
        <v>-0.54</v>
      </c>
      <c r="N25" s="20">
        <v>-0.05</v>
      </c>
      <c r="O25" s="20">
        <v>0.97</v>
      </c>
      <c r="P25" s="45">
        <v>2.13</v>
      </c>
      <c r="R25" s="56"/>
      <c r="S25" s="31"/>
      <c r="T25" s="20">
        <f>M25</f>
        <v>-0.54</v>
      </c>
      <c r="U25" s="20">
        <f t="shared" ref="U25:W25" si="11">N25</f>
        <v>-0.05</v>
      </c>
      <c r="V25" s="20">
        <f t="shared" si="11"/>
        <v>0.97</v>
      </c>
      <c r="W25" s="45">
        <f t="shared" si="11"/>
        <v>2.13</v>
      </c>
    </row>
    <row r="26" spans="1:23" hidden="1">
      <c r="A26" s="7">
        <v>6</v>
      </c>
      <c r="B26" s="7">
        <v>12</v>
      </c>
      <c r="C26" s="7" t="s">
        <v>9</v>
      </c>
      <c r="D26" s="7">
        <v>102</v>
      </c>
      <c r="E26" s="12">
        <v>2.2416139297410601E-2</v>
      </c>
      <c r="F26" s="10">
        <v>1.2647026514538</v>
      </c>
      <c r="G26" s="10">
        <v>0.208888402471089</v>
      </c>
      <c r="H26" s="12">
        <f t="shared" si="0"/>
        <v>1.8490899802272587E-3</v>
      </c>
      <c r="I26" s="12">
        <f t="shared" si="1"/>
        <v>2.2416139297410709E-2</v>
      </c>
      <c r="K26" s="56"/>
      <c r="L26" s="32" t="s">
        <v>8</v>
      </c>
      <c r="M26" s="46">
        <v>1.55610672921839E-2</v>
      </c>
      <c r="N26" s="46">
        <v>2.14332070845108E-2</v>
      </c>
      <c r="O26" s="46">
        <v>3.3700752615642197E-2</v>
      </c>
      <c r="P26" s="47">
        <v>5.05347405509049E-2</v>
      </c>
      <c r="R26" s="56"/>
      <c r="S26" s="32" t="s">
        <v>8</v>
      </c>
      <c r="T26" s="46">
        <v>5.1603474397456939E-3</v>
      </c>
      <c r="U26" s="46">
        <v>3.5407112351235615E-3</v>
      </c>
      <c r="V26" s="46">
        <v>3.6896039670997194E-3</v>
      </c>
      <c r="W26" s="47">
        <v>4.1167264712675955E-3</v>
      </c>
    </row>
    <row r="27" spans="1:23" hidden="1">
      <c r="A27" s="6">
        <v>9</v>
      </c>
      <c r="B27" s="6">
        <v>3</v>
      </c>
      <c r="C27" s="6" t="s">
        <v>7</v>
      </c>
      <c r="D27" s="6">
        <v>108</v>
      </c>
      <c r="E27" s="11">
        <v>5.9719290995810005E-4</v>
      </c>
      <c r="F27" s="9">
        <v>5.2714981072726597E-2</v>
      </c>
      <c r="G27" s="9">
        <v>0.95805729432186704</v>
      </c>
      <c r="H27" s="11">
        <f t="shared" si="0"/>
        <v>1.9902468986443544E-4</v>
      </c>
      <c r="I27" s="11">
        <f t="shared" si="1"/>
        <v>2.390912328120498E-3</v>
      </c>
      <c r="K27" s="56"/>
      <c r="L27" s="31"/>
      <c r="M27" s="20">
        <v>1.77</v>
      </c>
      <c r="N27" s="20">
        <v>1.59</v>
      </c>
      <c r="O27" s="20">
        <v>1.91</v>
      </c>
      <c r="P27" s="45">
        <v>2.25</v>
      </c>
      <c r="R27" s="56"/>
      <c r="S27" s="31"/>
      <c r="T27" s="20">
        <f>M27</f>
        <v>1.77</v>
      </c>
      <c r="U27" s="20">
        <f t="shared" ref="U27:W27" si="12">N27</f>
        <v>1.59</v>
      </c>
      <c r="V27" s="20">
        <f t="shared" si="12"/>
        <v>1.91</v>
      </c>
      <c r="W27" s="45">
        <f t="shared" si="12"/>
        <v>2.25</v>
      </c>
    </row>
    <row r="28" spans="1:23">
      <c r="A28" s="6">
        <v>9</v>
      </c>
      <c r="B28" s="6">
        <v>3</v>
      </c>
      <c r="C28" s="6" t="s">
        <v>8</v>
      </c>
      <c r="D28" s="6">
        <v>108</v>
      </c>
      <c r="E28" s="11">
        <v>2.8474975298435901E-2</v>
      </c>
      <c r="F28" s="9">
        <v>3.2314643208591001</v>
      </c>
      <c r="G28" s="9">
        <v>1.6370331429953E-3</v>
      </c>
      <c r="H28" s="11">
        <f t="shared" si="0"/>
        <v>9.4029655482583685E-3</v>
      </c>
      <c r="I28" s="11">
        <f t="shared" si="1"/>
        <v>0.11885785673747939</v>
      </c>
      <c r="K28" s="56"/>
      <c r="L28" s="33" t="s">
        <v>9</v>
      </c>
      <c r="M28" s="46">
        <v>2.1781674237234702E-2</v>
      </c>
      <c r="N28" s="46">
        <v>2.21277834183999E-2</v>
      </c>
      <c r="O28" s="46">
        <v>1.6426402254913201E-2</v>
      </c>
      <c r="P28" s="47">
        <v>2.9524356941194999E-3</v>
      </c>
      <c r="R28" s="56"/>
      <c r="S28" s="33" t="s">
        <v>9</v>
      </c>
      <c r="T28" s="46">
        <v>7.2084711668527479E-3</v>
      </c>
      <c r="U28" s="46">
        <v>3.6544139245389129E-3</v>
      </c>
      <c r="V28" s="46">
        <v>1.8119672290559663E-3</v>
      </c>
      <c r="W28" s="47">
        <v>2.4570399824863642E-4</v>
      </c>
    </row>
    <row r="29" spans="1:23">
      <c r="A29" s="5">
        <v>9</v>
      </c>
      <c r="B29" s="5">
        <v>3</v>
      </c>
      <c r="C29" s="6" t="s">
        <v>9</v>
      </c>
      <c r="D29" s="6">
        <v>108</v>
      </c>
      <c r="E29" s="11">
        <v>2.7877782388477702E-2</v>
      </c>
      <c r="F29" s="9">
        <v>2.8904916757838102</v>
      </c>
      <c r="G29" s="9">
        <v>4.6583346619845003E-3</v>
      </c>
      <c r="H29" s="11">
        <f t="shared" si="0"/>
        <v>9.2075548603509638E-3</v>
      </c>
      <c r="I29" s="11">
        <f t="shared" si="1"/>
        <v>0.1162614212419717</v>
      </c>
      <c r="K29" s="60"/>
      <c r="L29" s="61"/>
      <c r="M29" s="48">
        <v>2.1800000000000002</v>
      </c>
      <c r="N29" s="48">
        <v>1.57</v>
      </c>
      <c r="O29" s="48">
        <v>0.93</v>
      </c>
      <c r="P29" s="49">
        <v>0.13</v>
      </c>
      <c r="R29" s="60"/>
      <c r="S29" s="61"/>
      <c r="T29" s="48">
        <f>M29</f>
        <v>2.1800000000000002</v>
      </c>
      <c r="U29" s="48">
        <f t="shared" ref="U29:W29" si="13">N29</f>
        <v>1.57</v>
      </c>
      <c r="V29" s="48">
        <f t="shared" si="13"/>
        <v>0.93</v>
      </c>
      <c r="W29" s="49">
        <f t="shared" si="13"/>
        <v>0.13</v>
      </c>
    </row>
    <row r="30" spans="1:23">
      <c r="A30" s="7">
        <v>9</v>
      </c>
      <c r="B30" s="7">
        <v>6</v>
      </c>
      <c r="C30" s="7" t="s">
        <v>7</v>
      </c>
      <c r="D30" s="7">
        <v>105</v>
      </c>
      <c r="E30" s="12">
        <v>6.1873933427599999E-4</v>
      </c>
      <c r="F30" s="10">
        <v>4.4346786661663397E-2</v>
      </c>
      <c r="G30" s="10">
        <v>0.96471301456515401</v>
      </c>
      <c r="H30" s="12">
        <f t="shared" si="0"/>
        <v>1.0309664643015637E-4</v>
      </c>
      <c r="I30" s="12">
        <f t="shared" si="1"/>
        <v>1.2378615069157384E-3</v>
      </c>
      <c r="M30" s="16"/>
      <c r="N30" s="14"/>
      <c r="O30" s="14"/>
      <c r="P30" s="14"/>
      <c r="T30" s="16"/>
      <c r="U30" s="14"/>
      <c r="V30" s="14"/>
      <c r="W30" s="14"/>
    </row>
    <row r="31" spans="1:23">
      <c r="A31" s="7">
        <v>9</v>
      </c>
      <c r="B31" s="7">
        <v>6</v>
      </c>
      <c r="C31" s="7" t="s">
        <v>8</v>
      </c>
      <c r="D31" s="7">
        <v>105</v>
      </c>
      <c r="E31" s="12">
        <v>4.1623593254200397E-2</v>
      </c>
      <c r="F31" s="10">
        <v>3.1788306862105702</v>
      </c>
      <c r="G31" s="10">
        <v>1.9481016183373E-3</v>
      </c>
      <c r="H31" s="12">
        <f t="shared" si="0"/>
        <v>6.8199243521955832E-3</v>
      </c>
      <c r="I31" s="12">
        <f t="shared" si="1"/>
        <v>8.4979710023791899E-2</v>
      </c>
      <c r="M31" s="17"/>
      <c r="N31" s="15"/>
      <c r="O31" s="15"/>
      <c r="P31" s="15"/>
      <c r="T31" s="17"/>
      <c r="U31" s="15"/>
      <c r="V31" s="15"/>
      <c r="W31" s="15"/>
    </row>
    <row r="32" spans="1:23">
      <c r="A32" s="2">
        <v>9</v>
      </c>
      <c r="B32" s="2">
        <v>6</v>
      </c>
      <c r="C32" s="7" t="s">
        <v>9</v>
      </c>
      <c r="D32" s="7">
        <v>105</v>
      </c>
      <c r="E32" s="12">
        <v>4.1004853919924297E-2</v>
      </c>
      <c r="F32" s="10">
        <v>3.2691054510320399</v>
      </c>
      <c r="G32" s="10">
        <v>1.4631170676755001E-3</v>
      </c>
      <c r="H32" s="12">
        <f t="shared" si="0"/>
        <v>6.7202220963693549E-3</v>
      </c>
      <c r="I32" s="12">
        <f t="shared" si="1"/>
        <v>8.3691105884843076E-2</v>
      </c>
      <c r="M32" s="16"/>
      <c r="N32" s="14"/>
      <c r="O32" s="14"/>
      <c r="P32" s="14"/>
      <c r="T32" s="16"/>
      <c r="U32" s="14"/>
      <c r="V32" s="14"/>
      <c r="W32" s="14"/>
    </row>
    <row r="33" spans="1:23">
      <c r="A33" s="6">
        <v>9</v>
      </c>
      <c r="B33" s="6">
        <v>9</v>
      </c>
      <c r="C33" s="6" t="s">
        <v>7</v>
      </c>
      <c r="D33" s="6">
        <v>102</v>
      </c>
      <c r="E33" s="11">
        <v>1.523367447362E-3</v>
      </c>
      <c r="F33" s="9">
        <v>9.0674662684546395E-2</v>
      </c>
      <c r="G33" s="9">
        <v>0.92793068806257695</v>
      </c>
      <c r="H33" s="11">
        <f t="shared" si="0"/>
        <v>1.6914855958538588E-4</v>
      </c>
      <c r="I33" s="11">
        <f t="shared" si="1"/>
        <v>2.0316721216555589E-3</v>
      </c>
      <c r="M33" s="17"/>
      <c r="N33" s="15"/>
      <c r="O33" s="15"/>
      <c r="P33" s="15"/>
      <c r="T33" s="17"/>
      <c r="U33" s="15"/>
      <c r="V33" s="15"/>
      <c r="W33" s="15"/>
    </row>
    <row r="34" spans="1:23">
      <c r="A34" s="6">
        <v>9</v>
      </c>
      <c r="B34" s="6">
        <v>9</v>
      </c>
      <c r="C34" s="6" t="s">
        <v>8</v>
      </c>
      <c r="D34" s="6">
        <v>102</v>
      </c>
      <c r="E34" s="11">
        <v>4.0294606718451698E-2</v>
      </c>
      <c r="F34" s="9">
        <v>2.4803654449841401</v>
      </c>
      <c r="G34" s="9">
        <v>1.47777782253665E-2</v>
      </c>
      <c r="H34" s="11">
        <f t="shared" si="0"/>
        <v>4.3989748448740595E-3</v>
      </c>
      <c r="I34" s="11">
        <f t="shared" si="1"/>
        <v>5.4083776851025389E-2</v>
      </c>
      <c r="M34" s="16"/>
      <c r="N34" s="14"/>
      <c r="O34" s="14"/>
      <c r="P34" s="14"/>
      <c r="T34" s="16"/>
      <c r="U34" s="14"/>
      <c r="V34" s="14"/>
      <c r="W34" s="14"/>
    </row>
    <row r="35" spans="1:23">
      <c r="A35" s="5">
        <v>9</v>
      </c>
      <c r="B35" s="5">
        <v>9</v>
      </c>
      <c r="C35" s="6" t="s">
        <v>9</v>
      </c>
      <c r="D35" s="6">
        <v>102</v>
      </c>
      <c r="E35" s="11">
        <v>3.8771239271089601E-2</v>
      </c>
      <c r="F35" s="9">
        <v>2.4818415957859701</v>
      </c>
      <c r="G35" s="9">
        <v>1.4720291072391501E-2</v>
      </c>
      <c r="H35" s="11">
        <f t="shared" si="0"/>
        <v>4.2354458019948638E-3</v>
      </c>
      <c r="I35" s="11">
        <f t="shared" si="1"/>
        <v>5.2026199605735401E-2</v>
      </c>
      <c r="M35" s="17"/>
      <c r="N35" s="15"/>
      <c r="O35" s="15"/>
      <c r="P35" s="15"/>
      <c r="T35" s="17"/>
      <c r="U35" s="15"/>
      <c r="V35" s="15"/>
      <c r="W35" s="15"/>
    </row>
    <row r="36" spans="1:23">
      <c r="A36" s="7">
        <v>9</v>
      </c>
      <c r="B36" s="7">
        <v>12</v>
      </c>
      <c r="C36" s="7" t="s">
        <v>7</v>
      </c>
      <c r="D36" s="7">
        <v>99</v>
      </c>
      <c r="E36" s="12">
        <v>1.5399793559194999E-2</v>
      </c>
      <c r="F36" s="10">
        <v>0.78676070623234695</v>
      </c>
      <c r="G36" s="10">
        <v>0.43332043259999797</v>
      </c>
      <c r="H36" s="12">
        <f t="shared" si="0"/>
        <v>1.2743463085289619E-3</v>
      </c>
      <c r="I36" s="12">
        <f t="shared" si="1"/>
        <v>1.5399793559194963E-2</v>
      </c>
      <c r="M36" s="14"/>
      <c r="N36" s="14"/>
      <c r="O36" s="14"/>
      <c r="P36" s="14"/>
      <c r="T36" s="14"/>
      <c r="U36" s="14"/>
      <c r="V36" s="14"/>
      <c r="W36" s="14"/>
    </row>
    <row r="37" spans="1:23">
      <c r="A37" s="7">
        <v>9</v>
      </c>
      <c r="B37" s="7">
        <v>12</v>
      </c>
      <c r="C37" s="7" t="s">
        <v>8</v>
      </c>
      <c r="D37" s="7">
        <v>99</v>
      </c>
      <c r="E37" s="12">
        <v>4.1963339851818701E-2</v>
      </c>
      <c r="F37" s="10">
        <v>1.9830952728584299</v>
      </c>
      <c r="G37" s="10">
        <v>5.0155542116857701E-2</v>
      </c>
      <c r="H37" s="12">
        <f t="shared" si="0"/>
        <v>3.4314372997850118E-3</v>
      </c>
      <c r="I37" s="12">
        <f t="shared" si="1"/>
        <v>4.196333985181866E-2</v>
      </c>
      <c r="M37" s="15"/>
      <c r="N37" s="15"/>
      <c r="O37" s="15"/>
      <c r="P37" s="15"/>
      <c r="T37" s="15"/>
      <c r="U37" s="15"/>
      <c r="V37" s="15"/>
      <c r="W37" s="15"/>
    </row>
    <row r="38" spans="1:23">
      <c r="A38" s="7">
        <v>9</v>
      </c>
      <c r="B38" s="7">
        <v>12</v>
      </c>
      <c r="C38" s="7" t="s">
        <v>9</v>
      </c>
      <c r="D38" s="7">
        <v>99</v>
      </c>
      <c r="E38" s="12">
        <v>2.6563546292623599E-2</v>
      </c>
      <c r="F38" s="10">
        <v>1.36957393403213</v>
      </c>
      <c r="G38" s="10">
        <v>0.17395011282650499</v>
      </c>
      <c r="H38" s="12">
        <f t="shared" si="0"/>
        <v>2.1871267258086746E-3</v>
      </c>
      <c r="I38" s="12">
        <f t="shared" si="1"/>
        <v>2.6563546292623696E-2</v>
      </c>
      <c r="M38" s="14"/>
      <c r="N38" s="14"/>
      <c r="O38" s="14"/>
      <c r="P38" s="14"/>
      <c r="T38" s="14"/>
      <c r="U38" s="14"/>
      <c r="V38" s="14"/>
      <c r="W38" s="14"/>
    </row>
    <row r="39" spans="1:23">
      <c r="A39" s="6">
        <v>12</v>
      </c>
      <c r="B39" s="6">
        <v>3</v>
      </c>
      <c r="C39" s="6" t="s">
        <v>7</v>
      </c>
      <c r="D39" s="6">
        <v>105</v>
      </c>
      <c r="E39" s="11">
        <v>-6.2206069450507998E-3</v>
      </c>
      <c r="F39" s="9">
        <v>-0.53583211527644603</v>
      </c>
      <c r="G39" s="9">
        <v>0.59321870892864503</v>
      </c>
      <c r="H39" s="11">
        <f t="shared" si="0"/>
        <v>-2.0778501191220933E-3</v>
      </c>
      <c r="I39" s="11">
        <f t="shared" si="1"/>
        <v>-2.4651213427438035E-2</v>
      </c>
      <c r="M39" s="15"/>
      <c r="N39" s="15"/>
      <c r="O39" s="15"/>
      <c r="P39" s="15"/>
      <c r="T39" s="15"/>
      <c r="U39" s="15"/>
      <c r="V39" s="15"/>
      <c r="W39" s="15"/>
    </row>
    <row r="40" spans="1:23">
      <c r="A40" s="6">
        <v>12</v>
      </c>
      <c r="B40" s="6">
        <v>3</v>
      </c>
      <c r="C40" s="6" t="s">
        <v>8</v>
      </c>
      <c r="D40" s="6">
        <v>105</v>
      </c>
      <c r="E40" s="11">
        <v>1.55610672921839E-2</v>
      </c>
      <c r="F40" s="9">
        <v>1.7682394061761799</v>
      </c>
      <c r="G40" s="9">
        <v>7.9953173706632505E-2</v>
      </c>
      <c r="H40" s="11">
        <f t="shared" si="0"/>
        <v>5.1603474397456939E-3</v>
      </c>
      <c r="I40" s="11">
        <f t="shared" si="1"/>
        <v>6.3712280946995214E-2</v>
      </c>
      <c r="M40" s="14"/>
      <c r="N40" s="14"/>
      <c r="O40" s="14"/>
      <c r="P40" s="14"/>
      <c r="T40" s="14"/>
      <c r="U40" s="14"/>
      <c r="V40" s="14"/>
      <c r="W40" s="14"/>
    </row>
    <row r="41" spans="1:23">
      <c r="A41" s="5">
        <v>12</v>
      </c>
      <c r="B41" s="5">
        <v>3</v>
      </c>
      <c r="C41" s="6" t="s">
        <v>9</v>
      </c>
      <c r="D41" s="6">
        <v>105</v>
      </c>
      <c r="E41" s="11">
        <v>2.1781674237234702E-2</v>
      </c>
      <c r="F41" s="9">
        <v>2.18444160507469</v>
      </c>
      <c r="G41" s="9">
        <v>3.1175742226854802E-2</v>
      </c>
      <c r="H41" s="11">
        <f t="shared" si="0"/>
        <v>7.2084711668527479E-3</v>
      </c>
      <c r="I41" s="11">
        <f t="shared" si="1"/>
        <v>9.0014906545182738E-2</v>
      </c>
      <c r="M41" s="15"/>
      <c r="N41" s="15"/>
      <c r="O41" s="15"/>
      <c r="P41" s="15"/>
      <c r="T41" s="15"/>
      <c r="U41" s="15"/>
      <c r="V41" s="15"/>
      <c r="W41" s="15"/>
    </row>
    <row r="42" spans="1:23">
      <c r="A42" s="7">
        <v>12</v>
      </c>
      <c r="B42" s="7">
        <v>6</v>
      </c>
      <c r="C42" s="7" t="s">
        <v>7</v>
      </c>
      <c r="D42" s="7">
        <v>102</v>
      </c>
      <c r="E42" s="12">
        <v>-6.9457633388909999E-4</v>
      </c>
      <c r="F42" s="10">
        <v>-4.6921789058382297E-2</v>
      </c>
      <c r="G42" s="10">
        <v>0.96266821624608201</v>
      </c>
      <c r="H42" s="12">
        <f t="shared" si="0"/>
        <v>-1.1579623906210479E-4</v>
      </c>
      <c r="I42" s="12">
        <f t="shared" si="1"/>
        <v>-1.388670231494693E-3</v>
      </c>
      <c r="M42" s="16"/>
      <c r="N42" s="14"/>
      <c r="O42" s="14"/>
      <c r="P42" s="14"/>
      <c r="T42" s="16"/>
      <c r="U42" s="14"/>
      <c r="V42" s="14"/>
      <c r="W42" s="14"/>
    </row>
    <row r="43" spans="1:23">
      <c r="A43" s="7">
        <v>12</v>
      </c>
      <c r="B43" s="7">
        <v>6</v>
      </c>
      <c r="C43" s="7" t="s">
        <v>8</v>
      </c>
      <c r="D43" s="7">
        <v>102</v>
      </c>
      <c r="E43" s="12">
        <v>2.14332070845108E-2</v>
      </c>
      <c r="F43" s="10">
        <v>1.5868298092322599</v>
      </c>
      <c r="G43" s="10">
        <v>0.11567711128970599</v>
      </c>
      <c r="H43" s="12">
        <f t="shared" si="0"/>
        <v>3.5407112351235615E-3</v>
      </c>
      <c r="I43" s="12">
        <f t="shared" si="1"/>
        <v>4.332579653494939E-2</v>
      </c>
      <c r="M43" s="17"/>
      <c r="N43" s="15"/>
      <c r="O43" s="15"/>
      <c r="P43" s="15"/>
      <c r="T43" s="17"/>
      <c r="U43" s="15"/>
      <c r="V43" s="15"/>
      <c r="W43" s="15"/>
    </row>
    <row r="44" spans="1:23">
      <c r="A44" s="7">
        <v>12</v>
      </c>
      <c r="B44" s="7">
        <v>6</v>
      </c>
      <c r="C44" s="7" t="s">
        <v>9</v>
      </c>
      <c r="D44" s="7">
        <v>102</v>
      </c>
      <c r="E44" s="12">
        <v>2.21277834183999E-2</v>
      </c>
      <c r="F44" s="10">
        <v>1.5686371069098901</v>
      </c>
      <c r="G44" s="10">
        <v>0.119860281551464</v>
      </c>
      <c r="H44" s="12">
        <f t="shared" si="0"/>
        <v>3.6544139245389129E-3</v>
      </c>
      <c r="I44" s="12">
        <f t="shared" si="1"/>
        <v>4.4745205635811525E-2</v>
      </c>
      <c r="M44" s="16"/>
      <c r="N44" s="14"/>
      <c r="O44" s="14"/>
      <c r="P44" s="14"/>
      <c r="T44" s="16"/>
      <c r="U44" s="14"/>
      <c r="V44" s="14"/>
      <c r="W44" s="14"/>
    </row>
    <row r="45" spans="1:23">
      <c r="A45" s="6">
        <v>12</v>
      </c>
      <c r="B45" s="6">
        <v>9</v>
      </c>
      <c r="C45" s="6" t="s">
        <v>7</v>
      </c>
      <c r="D45" s="6">
        <v>99</v>
      </c>
      <c r="E45" s="11">
        <v>1.7274350360729E-2</v>
      </c>
      <c r="F45" s="9">
        <v>0.96718798430602604</v>
      </c>
      <c r="G45" s="9">
        <v>0.335830909036957</v>
      </c>
      <c r="H45" s="11">
        <f t="shared" si="0"/>
        <v>1.9047946045160913E-3</v>
      </c>
      <c r="I45" s="11">
        <f t="shared" si="1"/>
        <v>2.309852622686126E-2</v>
      </c>
      <c r="M45" s="17"/>
      <c r="N45" s="15"/>
      <c r="O45" s="15"/>
      <c r="P45" s="15"/>
      <c r="T45" s="17"/>
      <c r="U45" s="15"/>
      <c r="V45" s="15"/>
      <c r="W45" s="15"/>
    </row>
    <row r="46" spans="1:23">
      <c r="A46" s="6">
        <v>12</v>
      </c>
      <c r="B46" s="6">
        <v>9</v>
      </c>
      <c r="C46" s="6" t="s">
        <v>8</v>
      </c>
      <c r="D46" s="6">
        <v>99</v>
      </c>
      <c r="E46" s="11">
        <v>3.3700752615642197E-2</v>
      </c>
      <c r="F46" s="9">
        <v>1.9111876517641899</v>
      </c>
      <c r="G46" s="9">
        <v>5.8902534117065301E-2</v>
      </c>
      <c r="H46" s="11">
        <f t="shared" si="0"/>
        <v>3.6896039670997194E-3</v>
      </c>
      <c r="I46" s="11">
        <f t="shared" si="1"/>
        <v>4.5184859583782044E-2</v>
      </c>
      <c r="M46" s="16"/>
      <c r="N46" s="14"/>
      <c r="O46" s="14"/>
      <c r="P46" s="14"/>
      <c r="T46" s="16"/>
      <c r="U46" s="14"/>
      <c r="V46" s="14"/>
      <c r="W46" s="14"/>
    </row>
    <row r="47" spans="1:23">
      <c r="A47" s="6">
        <v>12</v>
      </c>
      <c r="B47" s="6">
        <v>9</v>
      </c>
      <c r="C47" s="6" t="s">
        <v>9</v>
      </c>
      <c r="D47" s="6">
        <v>99</v>
      </c>
      <c r="E47" s="11">
        <v>1.6426402254913201E-2</v>
      </c>
      <c r="F47" s="9">
        <v>0.93121947420209605</v>
      </c>
      <c r="G47" s="9">
        <v>0.35402843630614</v>
      </c>
      <c r="H47" s="11">
        <f t="shared" si="0"/>
        <v>1.8119672290559663E-3</v>
      </c>
      <c r="I47" s="11">
        <f t="shared" si="1"/>
        <v>2.1961613767084609E-2</v>
      </c>
      <c r="M47" s="17"/>
      <c r="N47" s="15"/>
      <c r="O47" s="15"/>
      <c r="P47" s="15"/>
      <c r="T47" s="17"/>
      <c r="U47" s="15"/>
      <c r="V47" s="15"/>
      <c r="W47" s="15"/>
    </row>
    <row r="48" spans="1:23">
      <c r="A48" s="7">
        <v>12</v>
      </c>
      <c r="B48" s="7">
        <v>12</v>
      </c>
      <c r="C48" s="7" t="s">
        <v>7</v>
      </c>
      <c r="D48" s="7">
        <v>96</v>
      </c>
      <c r="E48" s="12">
        <v>4.7582304856785398E-2</v>
      </c>
      <c r="F48" s="10">
        <v>2.1319726491645499</v>
      </c>
      <c r="G48" s="10">
        <v>3.5588701036567499E-2</v>
      </c>
      <c r="H48" s="12">
        <f t="shared" si="0"/>
        <v>3.8812578470888148E-3</v>
      </c>
      <c r="I48" s="12">
        <f t="shared" si="1"/>
        <v>4.7582304856785385E-2</v>
      </c>
      <c r="M48" s="14"/>
      <c r="N48" s="14"/>
      <c r="O48" s="14"/>
      <c r="P48" s="14"/>
      <c r="T48" s="14"/>
      <c r="U48" s="14"/>
      <c r="V48" s="14"/>
      <c r="W48" s="14"/>
    </row>
    <row r="49" spans="1:23">
      <c r="A49" s="7">
        <v>12</v>
      </c>
      <c r="B49" s="7">
        <v>12</v>
      </c>
      <c r="C49" s="7" t="s">
        <v>8</v>
      </c>
      <c r="D49" s="7">
        <v>96</v>
      </c>
      <c r="E49" s="12">
        <v>5.05347405509049E-2</v>
      </c>
      <c r="F49" s="10">
        <v>2.24675213526971</v>
      </c>
      <c r="G49" s="10">
        <v>2.6971310954366098E-2</v>
      </c>
      <c r="H49" s="12">
        <f t="shared" si="0"/>
        <v>4.1167264712675955E-3</v>
      </c>
      <c r="I49" s="12">
        <f t="shared" si="1"/>
        <v>5.05347405509049E-2</v>
      </c>
      <c r="M49" s="15"/>
      <c r="N49" s="15"/>
      <c r="O49" s="15"/>
      <c r="P49" s="15"/>
      <c r="T49" s="15"/>
      <c r="U49" s="15"/>
      <c r="V49" s="15"/>
      <c r="W49" s="15"/>
    </row>
    <row r="50" spans="1:23">
      <c r="A50" s="7">
        <v>12</v>
      </c>
      <c r="B50" s="7">
        <v>12</v>
      </c>
      <c r="C50" s="7" t="s">
        <v>9</v>
      </c>
      <c r="D50" s="7">
        <v>96</v>
      </c>
      <c r="E50" s="12">
        <v>2.9524356941194999E-3</v>
      </c>
      <c r="F50" s="10">
        <v>0.12530451887434399</v>
      </c>
      <c r="G50" s="10">
        <v>0.90054726036784105</v>
      </c>
      <c r="H50" s="12">
        <f t="shared" si="0"/>
        <v>2.4570399824863642E-4</v>
      </c>
      <c r="I50" s="12">
        <f t="shared" si="1"/>
        <v>2.9524356941195151E-3</v>
      </c>
      <c r="M50" s="14"/>
      <c r="N50" s="14"/>
      <c r="O50" s="14"/>
      <c r="P50" s="14"/>
      <c r="T50" s="14"/>
      <c r="U50" s="14"/>
      <c r="V50" s="14"/>
      <c r="W50" s="14"/>
    </row>
    <row r="51" spans="1:23">
      <c r="M51" s="15"/>
      <c r="N51" s="15"/>
      <c r="O51" s="15"/>
      <c r="P51" s="15"/>
      <c r="T51" s="15"/>
      <c r="U51" s="15"/>
      <c r="V51" s="15"/>
      <c r="W51" s="15"/>
    </row>
    <row r="52" spans="1:23">
      <c r="M52" s="14"/>
      <c r="N52" s="14"/>
      <c r="O52" s="14"/>
      <c r="P52" s="14"/>
      <c r="T52" s="14"/>
      <c r="U52" s="14"/>
      <c r="V52" s="14"/>
      <c r="W52" s="14"/>
    </row>
    <row r="53" spans="1:23">
      <c r="M53" s="15"/>
      <c r="N53" s="15"/>
      <c r="O53" s="15"/>
      <c r="P53" s="15"/>
      <c r="T53" s="15"/>
      <c r="U53" s="15"/>
      <c r="V53" s="15"/>
      <c r="W53" s="15"/>
    </row>
    <row r="54" spans="1:23">
      <c r="M54" s="14"/>
      <c r="N54" s="14"/>
      <c r="O54" s="14"/>
      <c r="P54" s="14"/>
      <c r="T54" s="14"/>
      <c r="U54" s="14"/>
      <c r="V54" s="14"/>
      <c r="W54" s="14"/>
    </row>
    <row r="55" spans="1:23">
      <c r="M55" s="15"/>
      <c r="N55" s="15"/>
      <c r="O55" s="15"/>
      <c r="P55" s="15"/>
      <c r="T55" s="15"/>
      <c r="U55" s="15"/>
      <c r="V55" s="15"/>
      <c r="W55" s="15"/>
    </row>
    <row r="56" spans="1:23">
      <c r="M56" s="14"/>
      <c r="N56" s="14"/>
      <c r="O56" s="14"/>
      <c r="P56" s="14"/>
      <c r="T56" s="14"/>
      <c r="U56" s="14"/>
      <c r="V56" s="14"/>
      <c r="W56" s="14"/>
    </row>
    <row r="57" spans="1:23">
      <c r="M57" s="15"/>
      <c r="N57" s="15"/>
      <c r="O57" s="15"/>
      <c r="P57" s="15"/>
      <c r="T57" s="15"/>
      <c r="U57" s="15"/>
      <c r="V57" s="15"/>
      <c r="W57" s="15"/>
    </row>
    <row r="58" spans="1:23">
      <c r="M58" s="14"/>
      <c r="N58" s="14"/>
      <c r="O58" s="14"/>
      <c r="P58" s="14"/>
      <c r="T58" s="14"/>
      <c r="U58" s="14"/>
      <c r="V58" s="14"/>
      <c r="W58" s="14"/>
    </row>
    <row r="59" spans="1:23">
      <c r="M59" s="15"/>
      <c r="N59" s="15"/>
      <c r="O59" s="15"/>
      <c r="P59" s="15"/>
      <c r="T59" s="15"/>
      <c r="U59" s="15"/>
      <c r="V59" s="15"/>
      <c r="W59" s="15"/>
    </row>
  </sheetData>
  <autoFilter ref="A2:G50" xr:uid="{828DFD01-9D50-4EA6-A7DD-A0B766D34BA5}">
    <sortState xmlns:xlrd2="http://schemas.microsoft.com/office/spreadsheetml/2017/richdata2" ref="A3:G50">
      <sortCondition ref="A2"/>
    </sortState>
  </autoFilter>
  <mergeCells count="35">
    <mergeCell ref="R24:R29"/>
    <mergeCell ref="S24:S25"/>
    <mergeCell ref="S26:S27"/>
    <mergeCell ref="S28:S29"/>
    <mergeCell ref="A1:I1"/>
    <mergeCell ref="R12:R17"/>
    <mergeCell ref="S12:S13"/>
    <mergeCell ref="S14:S15"/>
    <mergeCell ref="S16:S17"/>
    <mergeCell ref="R18:R23"/>
    <mergeCell ref="S18:S19"/>
    <mergeCell ref="S20:S21"/>
    <mergeCell ref="S22:S23"/>
    <mergeCell ref="R4:W4"/>
    <mergeCell ref="R6:R11"/>
    <mergeCell ref="S6:S7"/>
    <mergeCell ref="S8:S9"/>
    <mergeCell ref="S10:S11"/>
    <mergeCell ref="K24:K29"/>
    <mergeCell ref="K4:P4"/>
    <mergeCell ref="L6:L7"/>
    <mergeCell ref="L8:L9"/>
    <mergeCell ref="L10:L11"/>
    <mergeCell ref="K6:K11"/>
    <mergeCell ref="K12:K17"/>
    <mergeCell ref="L20:L21"/>
    <mergeCell ref="L22:L23"/>
    <mergeCell ref="L24:L25"/>
    <mergeCell ref="L26:L27"/>
    <mergeCell ref="L28:L29"/>
    <mergeCell ref="L12:L13"/>
    <mergeCell ref="L14:L15"/>
    <mergeCell ref="L16:L17"/>
    <mergeCell ref="L18:L19"/>
    <mergeCell ref="K18:K23"/>
  </mergeCells>
  <phoneticPr fontId="19" type="noConversion"/>
  <conditionalFormatting sqref="E2:E1048576">
    <cfRule type="cellIs" dxfId="108" priority="17" operator="lessThan">
      <formula>0</formula>
    </cfRule>
    <cfRule type="cellIs" dxfId="107" priority="18" operator="greaterThan">
      <formula>0</formula>
    </cfRule>
  </conditionalFormatting>
  <conditionalFormatting sqref="G2:G1048576">
    <cfRule type="cellIs" dxfId="106" priority="16" operator="lessThan">
      <formula>0.05</formula>
    </cfRule>
  </conditionalFormatting>
  <conditionalFormatting sqref="M6:P6 M8:P8 M10:P10 M12:P12 M14:P14 M16:P16 M18:P18 M20:P20 M22:P22 M24:P24 M26:P26 M28:P28">
    <cfRule type="expression" dxfId="105" priority="11">
      <formula>OR(M7&gt;1.96,M7&lt;-1.96)</formula>
    </cfRule>
  </conditionalFormatting>
  <conditionalFormatting sqref="M7:P7 M9:P9 M11:P11">
    <cfRule type="cellIs" dxfId="104" priority="10" operator="between">
      <formula>-1.96</formula>
      <formula>1.96</formula>
    </cfRule>
    <cfRule type="cellIs" dxfId="103" priority="13" operator="notBetween">
      <formula>1.96</formula>
      <formula>-1.96</formula>
    </cfRule>
  </conditionalFormatting>
  <conditionalFormatting sqref="M13:P13 M15:P15 M17:P17 M19:P19 M21:P21 M23:P23 M25:P25 M27:P27 M29:P29">
    <cfRule type="cellIs" dxfId="102" priority="8" operator="between">
      <formula>-1.96</formula>
      <formula>1.96</formula>
    </cfRule>
    <cfRule type="cellIs" dxfId="101" priority="9" operator="notBetween">
      <formula>1.96</formula>
      <formula>-1.96</formula>
    </cfRule>
  </conditionalFormatting>
  <conditionalFormatting sqref="T6:W6 T8:W8 T10:W10 T12:W12 T14:W14 T16:W16 T18:W18 T20:W20 T22:W22 T24:W24 T26:W26 T28:W28">
    <cfRule type="expression" dxfId="100" priority="6">
      <formula>OR(T7&gt;1.96,T7&lt;-1.96)</formula>
    </cfRule>
  </conditionalFormatting>
  <conditionalFormatting sqref="T7:W7 T9:W9 T11:W11">
    <cfRule type="cellIs" dxfId="99" priority="5" operator="between">
      <formula>-1.96</formula>
      <formula>1.96</formula>
    </cfRule>
    <cfRule type="cellIs" dxfId="98" priority="7" operator="notBetween">
      <formula>1.96</formula>
      <formula>-1.96</formula>
    </cfRule>
  </conditionalFormatting>
  <conditionalFormatting sqref="T13:W13 T15:W15 T17:W17 T19:W19 T21:W21 T23:W23 T25:W25 T27:W27 T29:W29">
    <cfRule type="cellIs" dxfId="97" priority="3" operator="between">
      <formula>-1.96</formula>
      <formula>1.96</formula>
    </cfRule>
    <cfRule type="cellIs" dxfId="96" priority="4" operator="notBetween">
      <formula>1.96</formula>
      <formula>-1.96</formula>
    </cfRule>
  </conditionalFormatting>
  <conditionalFormatting sqref="H2:I50">
    <cfRule type="cellIs" dxfId="95" priority="1" operator="lessThan">
      <formula>0</formula>
    </cfRule>
    <cfRule type="cellIs" dxfId="94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1E96-17E1-4C28-95A7-3B3EADA10A6C}">
  <sheetPr filterMode="1"/>
  <dimension ref="A1:W50"/>
  <sheetViews>
    <sheetView workbookViewId="0">
      <pane ySplit="2" topLeftCell="A3" activePane="bottomLeft" state="frozen"/>
      <selection activeCell="H1" sqref="H1"/>
      <selection pane="bottomLeft" activeCell="L55" sqref="L55"/>
    </sheetView>
  </sheetViews>
  <sheetFormatPr defaultRowHeight="16.5"/>
  <cols>
    <col min="1" max="2" width="10.625" customWidth="1"/>
    <col min="3" max="3" width="15" customWidth="1"/>
    <col min="5" max="5" width="10.625" hidden="1" customWidth="1"/>
    <col min="6" max="7" width="14" customWidth="1"/>
    <col min="8" max="8" width="14.625" customWidth="1"/>
    <col min="9" max="9" width="14.625" hidden="1" customWidth="1"/>
    <col min="11" max="11" width="10.625" customWidth="1"/>
    <col min="12" max="12" width="15.625" customWidth="1"/>
    <col min="13" max="18" width="10.625" customWidth="1"/>
    <col min="19" max="19" width="15.625" customWidth="1"/>
    <col min="20" max="23" width="10.625" customWidth="1"/>
  </cols>
  <sheetData>
    <row r="1" spans="1:23">
      <c r="A1" s="29" t="s">
        <v>22</v>
      </c>
      <c r="B1" s="29"/>
      <c r="C1" s="29"/>
      <c r="D1" s="29"/>
      <c r="E1" s="29"/>
      <c r="F1" s="29"/>
      <c r="G1" s="29"/>
      <c r="H1" s="29"/>
      <c r="I1" s="29"/>
      <c r="K1" s="24"/>
      <c r="L1" s="24"/>
      <c r="M1" s="24"/>
      <c r="N1" s="24"/>
      <c r="O1" s="24"/>
      <c r="P1" s="24"/>
    </row>
    <row r="2" spans="1:23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23</v>
      </c>
      <c r="I2" s="4" t="s">
        <v>24</v>
      </c>
    </row>
    <row r="3" spans="1:23" hidden="1">
      <c r="A3" s="6">
        <v>3</v>
      </c>
      <c r="B3" s="6">
        <v>3</v>
      </c>
      <c r="C3" s="6" t="s">
        <v>7</v>
      </c>
      <c r="D3" s="6">
        <v>174</v>
      </c>
      <c r="E3" s="11">
        <v>1.6023306879944799E-2</v>
      </c>
      <c r="F3" s="9">
        <v>1.7574121889043</v>
      </c>
      <c r="G3" s="9">
        <v>8.0616397090275904E-2</v>
      </c>
      <c r="H3" s="11">
        <f>(1 + E3)^(1 / B3) - 1</f>
        <v>5.3128261844221925E-3</v>
      </c>
      <c r="I3" s="11">
        <f>(1 + E3)^(12 / B3) - 1</f>
        <v>6.5650227321769616E-2</v>
      </c>
    </row>
    <row r="4" spans="1:23" hidden="1">
      <c r="A4" s="6">
        <v>3</v>
      </c>
      <c r="B4" s="6">
        <v>3</v>
      </c>
      <c r="C4" s="6" t="s">
        <v>8</v>
      </c>
      <c r="D4" s="6">
        <v>174</v>
      </c>
      <c r="E4" s="11">
        <v>4.3505107598651498E-2</v>
      </c>
      <c r="F4" s="9">
        <v>4.9672323972174404</v>
      </c>
      <c r="G4" s="9">
        <v>1.6205828733828801E-6</v>
      </c>
      <c r="H4" s="11">
        <f t="shared" ref="H4:H50" si="0">(1 + E4)^(1 / B4) - 1</f>
        <v>1.4296343118266552E-2</v>
      </c>
      <c r="I4" s="11">
        <f t="shared" ref="I4:I50" si="1">(1 + E4)^(12 / B4) - 1</f>
        <v>0.18570954650153126</v>
      </c>
      <c r="K4" s="50" t="s">
        <v>22</v>
      </c>
      <c r="L4" s="51"/>
      <c r="M4" s="51"/>
      <c r="N4" s="51"/>
      <c r="O4" s="51"/>
      <c r="P4" s="52"/>
      <c r="R4" s="50" t="s">
        <v>28</v>
      </c>
      <c r="S4" s="51"/>
      <c r="T4" s="51"/>
      <c r="U4" s="51"/>
      <c r="V4" s="51"/>
      <c r="W4" s="52"/>
    </row>
    <row r="5" spans="1:23" ht="17.25" thickBot="1">
      <c r="A5" s="5">
        <v>3</v>
      </c>
      <c r="B5" s="5">
        <v>3</v>
      </c>
      <c r="C5" s="6" t="s">
        <v>9</v>
      </c>
      <c r="D5" s="6">
        <v>174</v>
      </c>
      <c r="E5" s="11">
        <v>2.7481800718706699E-2</v>
      </c>
      <c r="F5" s="9">
        <v>3.4309955652209099</v>
      </c>
      <c r="G5" s="9">
        <v>7.5211470168450002E-4</v>
      </c>
      <c r="H5" s="11">
        <f t="shared" si="0"/>
        <v>9.0779418433364345E-3</v>
      </c>
      <c r="I5" s="11">
        <f t="shared" si="1"/>
        <v>0.1145422919516943</v>
      </c>
      <c r="K5" s="53" t="s">
        <v>16</v>
      </c>
      <c r="L5" s="26" t="s">
        <v>17</v>
      </c>
      <c r="M5" s="27" t="s">
        <v>12</v>
      </c>
      <c r="N5" s="27" t="s">
        <v>13</v>
      </c>
      <c r="O5" s="27" t="s">
        <v>14</v>
      </c>
      <c r="P5" s="54" t="s">
        <v>15</v>
      </c>
      <c r="R5" s="53" t="s">
        <v>16</v>
      </c>
      <c r="S5" s="26" t="s">
        <v>17</v>
      </c>
      <c r="T5" s="27" t="s">
        <v>12</v>
      </c>
      <c r="U5" s="27" t="s">
        <v>13</v>
      </c>
      <c r="V5" s="27" t="s">
        <v>14</v>
      </c>
      <c r="W5" s="54" t="s">
        <v>15</v>
      </c>
    </row>
    <row r="6" spans="1:23" hidden="1">
      <c r="A6" s="7">
        <v>3</v>
      </c>
      <c r="B6" s="7">
        <v>6</v>
      </c>
      <c r="C6" s="7" t="s">
        <v>7</v>
      </c>
      <c r="D6" s="7">
        <v>15</v>
      </c>
      <c r="E6" s="12">
        <v>3.9121944841341703E-2</v>
      </c>
      <c r="F6" s="10">
        <v>0.74566366867123202</v>
      </c>
      <c r="G6" s="10">
        <v>0.46820625174743402</v>
      </c>
      <c r="H6" s="12">
        <f t="shared" si="0"/>
        <v>6.4165102875011204E-3</v>
      </c>
      <c r="I6" s="12">
        <f t="shared" si="1"/>
        <v>7.9774416250852687E-2</v>
      </c>
      <c r="K6" s="55" t="s">
        <v>12</v>
      </c>
      <c r="L6" s="39" t="s">
        <v>7</v>
      </c>
      <c r="M6" s="46">
        <v>1.6E-2</v>
      </c>
      <c r="N6" s="46">
        <v>3.9100000000000003E-2</v>
      </c>
      <c r="O6" s="46">
        <v>4.99E-2</v>
      </c>
      <c r="P6" s="47">
        <v>7.9399999999999998E-2</v>
      </c>
      <c r="R6" s="55" t="s">
        <v>12</v>
      </c>
      <c r="S6" s="39" t="s">
        <v>7</v>
      </c>
      <c r="T6" s="46">
        <v>5.3128261844221925E-3</v>
      </c>
      <c r="U6" s="46">
        <v>6.4165102875011204E-3</v>
      </c>
      <c r="V6" s="46">
        <v>5.427474166272539E-3</v>
      </c>
      <c r="W6" s="47">
        <v>6.3911134412326653E-3</v>
      </c>
    </row>
    <row r="7" spans="1:23" hidden="1">
      <c r="A7" s="7">
        <v>3</v>
      </c>
      <c r="B7" s="7">
        <v>6</v>
      </c>
      <c r="C7" s="7" t="s">
        <v>8</v>
      </c>
      <c r="D7" s="7">
        <v>38</v>
      </c>
      <c r="E7" s="12">
        <v>9.8316172050815595E-2</v>
      </c>
      <c r="F7" s="10">
        <v>1.9910751711121</v>
      </c>
      <c r="G7" s="10">
        <v>5.3895511766333302E-2</v>
      </c>
      <c r="H7" s="12">
        <f t="shared" si="0"/>
        <v>1.5752491808820102E-2</v>
      </c>
      <c r="I7" s="12">
        <f t="shared" si="1"/>
        <v>0.206298413788357</v>
      </c>
      <c r="K7" s="56"/>
      <c r="L7" s="31"/>
      <c r="M7" s="20">
        <v>1.7574000000000001</v>
      </c>
      <c r="N7" s="20">
        <v>0.74570000000000003</v>
      </c>
      <c r="O7" s="20">
        <v>3.4171</v>
      </c>
      <c r="P7" s="45">
        <v>4.1973000000000003</v>
      </c>
      <c r="R7" s="56"/>
      <c r="S7" s="31"/>
      <c r="T7" s="20">
        <f>M7</f>
        <v>1.7574000000000001</v>
      </c>
      <c r="U7" s="20">
        <f t="shared" ref="U7:W7" si="2">N7</f>
        <v>0.74570000000000003</v>
      </c>
      <c r="V7" s="20">
        <f t="shared" si="2"/>
        <v>3.4171</v>
      </c>
      <c r="W7" s="45">
        <f t="shared" si="2"/>
        <v>4.1973000000000003</v>
      </c>
    </row>
    <row r="8" spans="1:23">
      <c r="A8" s="2">
        <v>3</v>
      </c>
      <c r="B8" s="2">
        <v>6</v>
      </c>
      <c r="C8" s="7" t="s">
        <v>9</v>
      </c>
      <c r="D8" s="7">
        <v>15</v>
      </c>
      <c r="E8" s="12">
        <v>7.8087780413782407E-2</v>
      </c>
      <c r="F8" s="10">
        <v>1.7189673091887001</v>
      </c>
      <c r="G8" s="10">
        <v>0.107642688149739</v>
      </c>
      <c r="H8" s="12">
        <f t="shared" si="0"/>
        <v>1.2610331071272851E-2</v>
      </c>
      <c r="I8" s="12">
        <f t="shared" si="1"/>
        <v>0.16227326227751604</v>
      </c>
      <c r="K8" s="56" t="s">
        <v>12</v>
      </c>
      <c r="L8" s="32" t="s">
        <v>8</v>
      </c>
      <c r="M8" s="46">
        <v>4.3499999999999997E-2</v>
      </c>
      <c r="N8" s="46">
        <v>9.8299999999999998E-2</v>
      </c>
      <c r="O8" s="46">
        <v>0.14530000000000001</v>
      </c>
      <c r="P8" s="47">
        <v>0.1618</v>
      </c>
      <c r="R8" s="56" t="s">
        <v>12</v>
      </c>
      <c r="S8" s="32" t="s">
        <v>8</v>
      </c>
      <c r="T8" s="46">
        <v>1.4296343118266552E-2</v>
      </c>
      <c r="U8" s="46">
        <v>1.5752491808820102E-2</v>
      </c>
      <c r="V8" s="46">
        <v>1.5184790402828607E-2</v>
      </c>
      <c r="W8" s="47">
        <v>1.2574361269001022E-2</v>
      </c>
    </row>
    <row r="9" spans="1:23" hidden="1">
      <c r="A9" s="6">
        <v>3</v>
      </c>
      <c r="B9" s="6">
        <v>9</v>
      </c>
      <c r="C9" s="6" t="s">
        <v>7</v>
      </c>
      <c r="D9" s="6">
        <v>168</v>
      </c>
      <c r="E9" s="11">
        <v>4.9921276451224003E-2</v>
      </c>
      <c r="F9" s="9">
        <v>3.4170611525091399</v>
      </c>
      <c r="G9" s="9">
        <v>7.9509568217720004E-4</v>
      </c>
      <c r="H9" s="11">
        <f t="shared" si="0"/>
        <v>5.427474166272539E-3</v>
      </c>
      <c r="I9" s="11">
        <f t="shared" si="1"/>
        <v>6.710949021784729E-2</v>
      </c>
      <c r="K9" s="56"/>
      <c r="L9" s="31"/>
      <c r="M9" s="20">
        <v>4.9672000000000001</v>
      </c>
      <c r="N9" s="20">
        <v>1.9911000000000001</v>
      </c>
      <c r="O9" s="20">
        <v>6.5355999999999996</v>
      </c>
      <c r="P9" s="45">
        <v>6.8906999999999998</v>
      </c>
      <c r="R9" s="56"/>
      <c r="S9" s="31"/>
      <c r="T9" s="20">
        <f>M9</f>
        <v>4.9672000000000001</v>
      </c>
      <c r="U9" s="20">
        <f t="shared" ref="U9:W9" si="3">N9</f>
        <v>1.9911000000000001</v>
      </c>
      <c r="V9" s="20">
        <f t="shared" si="3"/>
        <v>6.5355999999999996</v>
      </c>
      <c r="W9" s="45">
        <f t="shared" si="3"/>
        <v>6.8906999999999998</v>
      </c>
    </row>
    <row r="10" spans="1:23" hidden="1">
      <c r="A10" s="6">
        <v>3</v>
      </c>
      <c r="B10" s="6">
        <v>9</v>
      </c>
      <c r="C10" s="6" t="s">
        <v>8</v>
      </c>
      <c r="D10" s="6">
        <v>168</v>
      </c>
      <c r="E10" s="11">
        <v>0.14526482548688799</v>
      </c>
      <c r="F10" s="9">
        <v>6.53557844823065</v>
      </c>
      <c r="G10" s="9">
        <v>7.3604462422730505E-10</v>
      </c>
      <c r="H10" s="11">
        <f t="shared" si="0"/>
        <v>1.5184790402828607E-2</v>
      </c>
      <c r="I10" s="11">
        <f t="shared" si="1"/>
        <v>0.19823287250425548</v>
      </c>
      <c r="K10" s="56" t="s">
        <v>12</v>
      </c>
      <c r="L10" s="33" t="s">
        <v>9</v>
      </c>
      <c r="M10" s="46">
        <v>2.75E-2</v>
      </c>
      <c r="N10" s="46">
        <v>7.8100000000000003E-2</v>
      </c>
      <c r="O10" s="46">
        <v>9.5299999999999996E-2</v>
      </c>
      <c r="P10" s="47">
        <v>8.2299999999999998E-2</v>
      </c>
      <c r="R10" s="56" t="s">
        <v>12</v>
      </c>
      <c r="S10" s="33" t="s">
        <v>9</v>
      </c>
      <c r="T10" s="46">
        <v>9.0779418433364345E-3</v>
      </c>
      <c r="U10" s="46">
        <v>1.2610331071272851E-2</v>
      </c>
      <c r="V10" s="46">
        <v>1.0170039933412145E-2</v>
      </c>
      <c r="W10" s="47">
        <v>6.6148262636673838E-3</v>
      </c>
    </row>
    <row r="11" spans="1:23">
      <c r="A11" s="5">
        <v>3</v>
      </c>
      <c r="B11" s="5">
        <v>9</v>
      </c>
      <c r="C11" s="6" t="s">
        <v>9</v>
      </c>
      <c r="D11" s="6">
        <v>168</v>
      </c>
      <c r="E11" s="11">
        <v>9.5343549035664804E-2</v>
      </c>
      <c r="F11" s="9">
        <v>4.9602556408848297</v>
      </c>
      <c r="G11" s="9">
        <v>1.7205528688402099E-6</v>
      </c>
      <c r="H11" s="11">
        <f t="shared" si="0"/>
        <v>1.0170039933412145E-2</v>
      </c>
      <c r="I11" s="11">
        <f t="shared" si="1"/>
        <v>0.12910363731811114</v>
      </c>
      <c r="K11" s="57"/>
      <c r="L11" s="34"/>
      <c r="M11" s="22">
        <v>3.431</v>
      </c>
      <c r="N11" s="22">
        <v>1.7190000000000001</v>
      </c>
      <c r="O11" s="22">
        <v>4.9603000000000002</v>
      </c>
      <c r="P11" s="58">
        <v>4.0888999999999998</v>
      </c>
      <c r="R11" s="57"/>
      <c r="S11" s="34"/>
      <c r="T11" s="22">
        <f>M11</f>
        <v>3.431</v>
      </c>
      <c r="U11" s="22">
        <f t="shared" ref="U11:W11" si="4">N11</f>
        <v>1.7190000000000001</v>
      </c>
      <c r="V11" s="22">
        <f t="shared" si="4"/>
        <v>4.9603000000000002</v>
      </c>
      <c r="W11" s="58">
        <f t="shared" si="4"/>
        <v>4.0888999999999998</v>
      </c>
    </row>
    <row r="12" spans="1:23" hidden="1">
      <c r="A12" s="7">
        <v>3</v>
      </c>
      <c r="B12" s="7">
        <v>12</v>
      </c>
      <c r="C12" s="7" t="s">
        <v>7</v>
      </c>
      <c r="D12" s="7">
        <v>165</v>
      </c>
      <c r="E12" s="12">
        <v>7.9447485297510098E-2</v>
      </c>
      <c r="F12" s="10">
        <v>4.1972844119565602</v>
      </c>
      <c r="G12" s="10">
        <v>4.4170673870135601E-5</v>
      </c>
      <c r="H12" s="12">
        <f t="shared" si="0"/>
        <v>6.3911134412326653E-3</v>
      </c>
      <c r="I12" s="12">
        <f t="shared" si="1"/>
        <v>7.9447485297510001E-2</v>
      </c>
      <c r="K12" s="59" t="s">
        <v>13</v>
      </c>
      <c r="L12" s="30" t="s">
        <v>7</v>
      </c>
      <c r="M12" s="46">
        <v>1.0699999999999999E-2</v>
      </c>
      <c r="N12" s="46">
        <v>2.9000000000000001E-2</v>
      </c>
      <c r="O12" s="46">
        <v>4.5499999999999999E-2</v>
      </c>
      <c r="P12" s="47">
        <v>8.1900000000000001E-2</v>
      </c>
      <c r="R12" s="59" t="s">
        <v>13</v>
      </c>
      <c r="S12" s="30" t="s">
        <v>7</v>
      </c>
      <c r="T12" s="46">
        <v>3.566695239616946E-3</v>
      </c>
      <c r="U12" s="46">
        <v>4.7797967631271199E-3</v>
      </c>
      <c r="V12" s="46">
        <v>4.9520296856613299E-3</v>
      </c>
      <c r="W12" s="47">
        <v>6.5798567527752816E-3</v>
      </c>
    </row>
    <row r="13" spans="1:23" hidden="1">
      <c r="A13" s="7">
        <v>3</v>
      </c>
      <c r="B13" s="7">
        <v>12</v>
      </c>
      <c r="C13" s="7" t="s">
        <v>8</v>
      </c>
      <c r="D13" s="7">
        <v>165</v>
      </c>
      <c r="E13" s="12">
        <v>0.16177792576368999</v>
      </c>
      <c r="F13" s="10">
        <v>6.89068758006339</v>
      </c>
      <c r="G13" s="10">
        <v>1.13360982008635E-10</v>
      </c>
      <c r="H13" s="12">
        <f t="shared" si="0"/>
        <v>1.2574361269001022E-2</v>
      </c>
      <c r="I13" s="12">
        <f t="shared" si="1"/>
        <v>0.16177792576368999</v>
      </c>
      <c r="K13" s="56"/>
      <c r="L13" s="31"/>
      <c r="M13" s="20">
        <v>1.2658</v>
      </c>
      <c r="N13" s="20">
        <v>2.4544000000000001</v>
      </c>
      <c r="O13" s="20">
        <v>3.0880000000000001</v>
      </c>
      <c r="P13" s="45">
        <v>4.3525</v>
      </c>
      <c r="R13" s="56"/>
      <c r="S13" s="31"/>
      <c r="T13" s="20">
        <f>M13</f>
        <v>1.2658</v>
      </c>
      <c r="U13" s="20">
        <f t="shared" ref="U13:W13" si="5">N13</f>
        <v>2.4544000000000001</v>
      </c>
      <c r="V13" s="20">
        <f t="shared" si="5"/>
        <v>3.0880000000000001</v>
      </c>
      <c r="W13" s="45">
        <f t="shared" si="5"/>
        <v>4.3525</v>
      </c>
    </row>
    <row r="14" spans="1:23">
      <c r="A14" s="2">
        <v>3</v>
      </c>
      <c r="B14" s="2">
        <v>12</v>
      </c>
      <c r="C14" s="7" t="s">
        <v>9</v>
      </c>
      <c r="D14" s="7">
        <v>165</v>
      </c>
      <c r="E14" s="12">
        <v>8.2330440466180294E-2</v>
      </c>
      <c r="F14" s="10">
        <v>4.0889347377385103</v>
      </c>
      <c r="G14" s="10">
        <v>6.7742096538862993E-5</v>
      </c>
      <c r="H14" s="12">
        <f t="shared" si="0"/>
        <v>6.6148262636673838E-3</v>
      </c>
      <c r="I14" s="12">
        <f t="shared" si="1"/>
        <v>8.233044046618021E-2</v>
      </c>
      <c r="K14" s="56" t="s">
        <v>13</v>
      </c>
      <c r="L14" s="32" t="s">
        <v>8</v>
      </c>
      <c r="M14" s="46">
        <v>4.6300000000000001E-2</v>
      </c>
      <c r="N14" s="46">
        <v>9.01E-2</v>
      </c>
      <c r="O14" s="46">
        <v>0.1234</v>
      </c>
      <c r="P14" s="47">
        <v>0.1404</v>
      </c>
      <c r="R14" s="56" t="s">
        <v>13</v>
      </c>
      <c r="S14" s="32" t="s">
        <v>8</v>
      </c>
      <c r="T14" s="46">
        <v>1.520382218025107E-2</v>
      </c>
      <c r="U14" s="46">
        <v>1.4485905139342892E-2</v>
      </c>
      <c r="V14" s="46">
        <v>1.3013188040126744E-2</v>
      </c>
      <c r="W14" s="47">
        <v>1.1010902973388248E-2</v>
      </c>
    </row>
    <row r="15" spans="1:23" hidden="1">
      <c r="A15" s="6">
        <v>6</v>
      </c>
      <c r="B15" s="6">
        <v>3</v>
      </c>
      <c r="C15" s="6" t="s">
        <v>7</v>
      </c>
      <c r="D15" s="6">
        <v>171</v>
      </c>
      <c r="E15" s="11">
        <v>1.0738295036701101E-2</v>
      </c>
      <c r="F15" s="9">
        <v>1.26576462056544</v>
      </c>
      <c r="G15" s="9">
        <v>0.20732930044986</v>
      </c>
      <c r="H15" s="11">
        <f t="shared" si="0"/>
        <v>3.566695239616946E-3</v>
      </c>
      <c r="I15" s="11">
        <f t="shared" si="1"/>
        <v>4.3650012298507734E-2</v>
      </c>
      <c r="K15" s="56"/>
      <c r="L15" s="31"/>
      <c r="M15" s="20">
        <v>4.9569000000000001</v>
      </c>
      <c r="N15" s="20">
        <v>6.1984000000000004</v>
      </c>
      <c r="O15" s="20">
        <v>5.8876999999999997</v>
      </c>
      <c r="P15" s="45">
        <v>5.8375000000000004</v>
      </c>
      <c r="R15" s="56"/>
      <c r="S15" s="31"/>
      <c r="T15" s="20">
        <f>M15</f>
        <v>4.9569000000000001</v>
      </c>
      <c r="U15" s="20">
        <f t="shared" ref="U15:W15" si="6">N15</f>
        <v>6.1984000000000004</v>
      </c>
      <c r="V15" s="20">
        <f t="shared" si="6"/>
        <v>5.8876999999999997</v>
      </c>
      <c r="W15" s="45">
        <f t="shared" si="6"/>
        <v>5.8375000000000004</v>
      </c>
    </row>
    <row r="16" spans="1:23" hidden="1">
      <c r="A16" s="6">
        <v>6</v>
      </c>
      <c r="B16" s="6">
        <v>3</v>
      </c>
      <c r="C16" s="6" t="s">
        <v>8</v>
      </c>
      <c r="D16" s="6">
        <v>171</v>
      </c>
      <c r="E16" s="11">
        <v>4.6308449625314801E-2</v>
      </c>
      <c r="F16" s="9">
        <v>4.9569218497544503</v>
      </c>
      <c r="G16" s="9">
        <v>1.7214968961303401E-6</v>
      </c>
      <c r="H16" s="11">
        <f t="shared" si="0"/>
        <v>1.520382218025107E-2</v>
      </c>
      <c r="I16" s="11">
        <f t="shared" si="1"/>
        <v>0.19850246109199077</v>
      </c>
      <c r="K16" s="56" t="s">
        <v>13</v>
      </c>
      <c r="L16" s="33" t="s">
        <v>9</v>
      </c>
      <c r="M16" s="46">
        <v>3.56E-2</v>
      </c>
      <c r="N16" s="46">
        <v>6.1100000000000002E-2</v>
      </c>
      <c r="O16" s="46">
        <v>7.7899999999999997E-2</v>
      </c>
      <c r="P16" s="47">
        <v>5.8599999999999999E-2</v>
      </c>
      <c r="R16" s="56" t="s">
        <v>13</v>
      </c>
      <c r="S16" s="33" t="s">
        <v>9</v>
      </c>
      <c r="T16" s="46">
        <v>1.1718850288543692E-2</v>
      </c>
      <c r="U16" s="46">
        <v>9.9334961667942867E-3</v>
      </c>
      <c r="V16" s="46">
        <v>8.3742126069297207E-3</v>
      </c>
      <c r="W16" s="47">
        <v>4.7532815891686564E-3</v>
      </c>
    </row>
    <row r="17" spans="1:23">
      <c r="A17" s="5">
        <v>6</v>
      </c>
      <c r="B17" s="5">
        <v>3</v>
      </c>
      <c r="C17" s="6" t="s">
        <v>9</v>
      </c>
      <c r="D17" s="6">
        <v>171</v>
      </c>
      <c r="E17" s="11">
        <v>3.5570154588613699E-2</v>
      </c>
      <c r="F17" s="9">
        <v>4.1432415948487797</v>
      </c>
      <c r="G17" s="9">
        <v>5.3883402765119398E-5</v>
      </c>
      <c r="H17" s="11">
        <f t="shared" si="0"/>
        <v>1.1718850288543692E-2</v>
      </c>
      <c r="I17" s="11">
        <f t="shared" si="1"/>
        <v>0.15005365310693319</v>
      </c>
      <c r="K17" s="57"/>
      <c r="L17" s="34"/>
      <c r="M17" s="22">
        <v>4.1432000000000002</v>
      </c>
      <c r="N17" s="22">
        <v>4.9089999999999998</v>
      </c>
      <c r="O17" s="22">
        <v>4.4587000000000003</v>
      </c>
      <c r="P17" s="58">
        <v>2.9992000000000001</v>
      </c>
      <c r="R17" s="57"/>
      <c r="S17" s="34"/>
      <c r="T17" s="22">
        <f>M17</f>
        <v>4.1432000000000002</v>
      </c>
      <c r="U17" s="22">
        <f t="shared" ref="U17:W17" si="7">N17</f>
        <v>4.9089999999999998</v>
      </c>
      <c r="V17" s="22">
        <f t="shared" si="7"/>
        <v>4.4587000000000003</v>
      </c>
      <c r="W17" s="58">
        <f t="shared" si="7"/>
        <v>2.9992000000000001</v>
      </c>
    </row>
    <row r="18" spans="1:23" hidden="1">
      <c r="A18" s="7">
        <v>6</v>
      </c>
      <c r="B18" s="7">
        <v>6</v>
      </c>
      <c r="C18" s="7" t="s">
        <v>7</v>
      </c>
      <c r="D18" s="7">
        <v>168</v>
      </c>
      <c r="E18" s="12">
        <v>2.9023669308038898E-2</v>
      </c>
      <c r="F18" s="10">
        <v>2.4544389244474401</v>
      </c>
      <c r="G18" s="10">
        <v>1.5136445022190701E-2</v>
      </c>
      <c r="H18" s="12">
        <f t="shared" si="0"/>
        <v>4.7797967631271199E-3</v>
      </c>
      <c r="I18" s="12">
        <f t="shared" si="1"/>
        <v>5.8889711996179983E-2</v>
      </c>
      <c r="K18" s="59" t="s">
        <v>14</v>
      </c>
      <c r="L18" s="30" t="s">
        <v>7</v>
      </c>
      <c r="M18" s="46">
        <v>5.7000000000000002E-3</v>
      </c>
      <c r="N18" s="46">
        <v>1.9099999999999999E-2</v>
      </c>
      <c r="O18" s="46">
        <v>4.1500000000000002E-2</v>
      </c>
      <c r="P18" s="47">
        <v>8.7900000000000006E-2</v>
      </c>
      <c r="R18" s="59" t="s">
        <v>14</v>
      </c>
      <c r="S18" s="30" t="s">
        <v>7</v>
      </c>
      <c r="T18" s="46">
        <v>1.9039381726457805E-3</v>
      </c>
      <c r="U18" s="46">
        <v>3.1524512077070188E-3</v>
      </c>
      <c r="V18" s="46">
        <v>4.531651996193542E-3</v>
      </c>
      <c r="W18" s="47">
        <v>7.0479781569972033E-3</v>
      </c>
    </row>
    <row r="19" spans="1:23" hidden="1">
      <c r="A19" s="7">
        <v>6</v>
      </c>
      <c r="B19" s="7">
        <v>6</v>
      </c>
      <c r="C19" s="7" t="s">
        <v>8</v>
      </c>
      <c r="D19" s="7">
        <v>168</v>
      </c>
      <c r="E19" s="12">
        <v>9.0124511755686296E-2</v>
      </c>
      <c r="F19" s="10">
        <v>6.1983701949875396</v>
      </c>
      <c r="G19" s="10">
        <v>4.3115443720080604E-9</v>
      </c>
      <c r="H19" s="12">
        <f t="shared" si="0"/>
        <v>1.4485905139342892E-2</v>
      </c>
      <c r="I19" s="12">
        <f t="shared" si="1"/>
        <v>0.18837145113057363</v>
      </c>
      <c r="K19" s="56"/>
      <c r="L19" s="31"/>
      <c r="M19" s="20">
        <v>0.62109999999999999</v>
      </c>
      <c r="N19" s="20">
        <v>1.5206999999999999</v>
      </c>
      <c r="O19" s="20">
        <v>2.7010999999999998</v>
      </c>
      <c r="P19" s="45">
        <v>3.9626000000000001</v>
      </c>
      <c r="R19" s="56"/>
      <c r="S19" s="31"/>
      <c r="T19" s="20">
        <f>M19</f>
        <v>0.62109999999999999</v>
      </c>
      <c r="U19" s="20">
        <f t="shared" ref="U19:W19" si="8">N19</f>
        <v>1.5206999999999999</v>
      </c>
      <c r="V19" s="20">
        <f t="shared" si="8"/>
        <v>2.7010999999999998</v>
      </c>
      <c r="W19" s="45">
        <f t="shared" si="8"/>
        <v>3.9626000000000001</v>
      </c>
    </row>
    <row r="20" spans="1:23">
      <c r="A20" s="2">
        <v>6</v>
      </c>
      <c r="B20" s="2">
        <v>6</v>
      </c>
      <c r="C20" s="7" t="s">
        <v>9</v>
      </c>
      <c r="D20" s="7">
        <v>168</v>
      </c>
      <c r="E20" s="12">
        <v>6.1100842447647401E-2</v>
      </c>
      <c r="F20" s="10">
        <v>4.9089680784505401</v>
      </c>
      <c r="G20" s="10">
        <v>2.1638358655465001E-6</v>
      </c>
      <c r="H20" s="12">
        <f t="shared" si="0"/>
        <v>9.9334961667942867E-3</v>
      </c>
      <c r="I20" s="12">
        <f t="shared" si="1"/>
        <v>0.12593499784310702</v>
      </c>
      <c r="K20" s="56" t="s">
        <v>14</v>
      </c>
      <c r="L20" s="32" t="s">
        <v>8</v>
      </c>
      <c r="M20" s="46">
        <v>4.7500000000000001E-2</v>
      </c>
      <c r="N20" s="46">
        <v>8.2799999999999999E-2</v>
      </c>
      <c r="O20" s="46">
        <v>0.1051</v>
      </c>
      <c r="P20" s="47">
        <v>0.12520000000000001</v>
      </c>
      <c r="R20" s="56" t="s">
        <v>14</v>
      </c>
      <c r="S20" s="32" t="s">
        <v>8</v>
      </c>
      <c r="T20" s="46">
        <v>1.5581477315895986E-2</v>
      </c>
      <c r="U20" s="46">
        <v>1.3348820341297696E-2</v>
      </c>
      <c r="V20" s="46">
        <v>1.1166540594599317E-2</v>
      </c>
      <c r="W20" s="47">
        <v>9.8751242957872964E-3</v>
      </c>
    </row>
    <row r="21" spans="1:23" hidden="1">
      <c r="A21" s="6">
        <v>6</v>
      </c>
      <c r="B21" s="6">
        <v>9</v>
      </c>
      <c r="C21" s="6" t="s">
        <v>7</v>
      </c>
      <c r="D21" s="6">
        <v>165</v>
      </c>
      <c r="E21" s="11">
        <v>4.5461357523971999E-2</v>
      </c>
      <c r="F21" s="9">
        <v>3.0879593499291</v>
      </c>
      <c r="G21" s="9">
        <v>2.3672073959602E-3</v>
      </c>
      <c r="H21" s="11">
        <f t="shared" si="0"/>
        <v>4.9520296856613299E-3</v>
      </c>
      <c r="I21" s="11">
        <f t="shared" si="1"/>
        <v>6.1069863800100155E-2</v>
      </c>
      <c r="K21" s="56"/>
      <c r="L21" s="31"/>
      <c r="M21" s="20">
        <v>4.7946</v>
      </c>
      <c r="N21" s="20">
        <v>5.5275999999999996</v>
      </c>
      <c r="O21" s="20">
        <v>5.0880000000000001</v>
      </c>
      <c r="P21" s="45">
        <v>5.1573000000000002</v>
      </c>
      <c r="R21" s="56"/>
      <c r="S21" s="31"/>
      <c r="T21" s="20">
        <f>M21</f>
        <v>4.7946</v>
      </c>
      <c r="U21" s="20">
        <f t="shared" ref="U21:W21" si="9">N21</f>
        <v>5.5275999999999996</v>
      </c>
      <c r="V21" s="20">
        <f t="shared" si="9"/>
        <v>5.0880000000000001</v>
      </c>
      <c r="W21" s="45">
        <f t="shared" si="9"/>
        <v>5.1573000000000002</v>
      </c>
    </row>
    <row r="22" spans="1:23" hidden="1">
      <c r="A22" s="6">
        <v>6</v>
      </c>
      <c r="B22" s="6">
        <v>9</v>
      </c>
      <c r="C22" s="6" t="s">
        <v>8</v>
      </c>
      <c r="D22" s="6">
        <v>165</v>
      </c>
      <c r="E22" s="11">
        <v>0.123403813592302</v>
      </c>
      <c r="F22" s="9">
        <v>5.88767728765478</v>
      </c>
      <c r="G22" s="9">
        <v>2.1510669677862899E-8</v>
      </c>
      <c r="H22" s="11">
        <f t="shared" si="0"/>
        <v>1.3013188040126744E-2</v>
      </c>
      <c r="I22" s="11">
        <f t="shared" si="1"/>
        <v>0.1678342063716054</v>
      </c>
      <c r="K22" s="56" t="s">
        <v>14</v>
      </c>
      <c r="L22" s="33" t="s">
        <v>9</v>
      </c>
      <c r="M22" s="46">
        <v>4.1799999999999997E-2</v>
      </c>
      <c r="N22" s="46">
        <v>6.3700000000000007E-2</v>
      </c>
      <c r="O22" s="46">
        <v>6.3600000000000004E-2</v>
      </c>
      <c r="P22" s="47">
        <v>3.7199999999999997E-2</v>
      </c>
      <c r="R22" s="56" t="s">
        <v>14</v>
      </c>
      <c r="S22" s="33" t="s">
        <v>9</v>
      </c>
      <c r="T22" s="46">
        <v>1.3728617819708244E-2</v>
      </c>
      <c r="U22" s="46">
        <v>1.0353205534288756E-2</v>
      </c>
      <c r="V22" s="46">
        <v>6.8719004659985039E-3</v>
      </c>
      <c r="W22" s="47">
        <v>3.0501288496465051E-3</v>
      </c>
    </row>
    <row r="23" spans="1:23">
      <c r="A23" s="5">
        <v>6</v>
      </c>
      <c r="B23" s="5">
        <v>9</v>
      </c>
      <c r="C23" s="6" t="s">
        <v>9</v>
      </c>
      <c r="D23" s="6">
        <v>165</v>
      </c>
      <c r="E23" s="11">
        <v>7.7942456068330002E-2</v>
      </c>
      <c r="F23" s="9">
        <v>4.4586771319247704</v>
      </c>
      <c r="G23" s="9">
        <v>1.52371819737765E-5</v>
      </c>
      <c r="H23" s="11">
        <f t="shared" si="0"/>
        <v>8.3742126069297207E-3</v>
      </c>
      <c r="I23" s="11">
        <f t="shared" si="1"/>
        <v>0.10525062704283994</v>
      </c>
      <c r="K23" s="57"/>
      <c r="L23" s="34"/>
      <c r="M23" s="22">
        <v>4.4785000000000004</v>
      </c>
      <c r="N23" s="22">
        <v>4.8543000000000003</v>
      </c>
      <c r="O23" s="22">
        <v>3.7856000000000001</v>
      </c>
      <c r="P23" s="58">
        <v>1.7704</v>
      </c>
      <c r="R23" s="57"/>
      <c r="S23" s="34"/>
      <c r="T23" s="22">
        <f>M23</f>
        <v>4.4785000000000004</v>
      </c>
      <c r="U23" s="22">
        <f t="shared" ref="U23:W23" si="10">N23</f>
        <v>4.8543000000000003</v>
      </c>
      <c r="V23" s="22">
        <f t="shared" si="10"/>
        <v>3.7856000000000001</v>
      </c>
      <c r="W23" s="58">
        <f t="shared" si="10"/>
        <v>1.7704</v>
      </c>
    </row>
    <row r="24" spans="1:23" hidden="1">
      <c r="A24" s="7">
        <v>6</v>
      </c>
      <c r="B24" s="7">
        <v>12</v>
      </c>
      <c r="C24" s="7" t="s">
        <v>7</v>
      </c>
      <c r="D24" s="7">
        <v>162</v>
      </c>
      <c r="E24" s="12">
        <v>8.1879328470080698E-2</v>
      </c>
      <c r="F24" s="10">
        <v>4.3525212868608802</v>
      </c>
      <c r="G24" s="10">
        <v>2.38363388899217E-5</v>
      </c>
      <c r="H24" s="12">
        <f t="shared" si="0"/>
        <v>6.5798567527752816E-3</v>
      </c>
      <c r="I24" s="12">
        <f t="shared" si="1"/>
        <v>8.1879328470080726E-2</v>
      </c>
      <c r="K24" s="59" t="s">
        <v>15</v>
      </c>
      <c r="L24" s="30" t="s">
        <v>7</v>
      </c>
      <c r="M24" s="46">
        <v>3.2000000000000002E-3</v>
      </c>
      <c r="N24" s="46">
        <v>2.3800000000000002E-2</v>
      </c>
      <c r="O24" s="46">
        <v>5.5899999999999998E-2</v>
      </c>
      <c r="P24" s="47">
        <v>0.11169999999999999</v>
      </c>
      <c r="R24" s="59" t="s">
        <v>15</v>
      </c>
      <c r="S24" s="30" t="s">
        <v>7</v>
      </c>
      <c r="T24" s="46">
        <v>1.0503944254947051E-3</v>
      </c>
      <c r="U24" s="46">
        <v>3.9240376360953899E-3</v>
      </c>
      <c r="V24" s="46">
        <v>6.0578129901176503E-3</v>
      </c>
      <c r="W24" s="47">
        <v>8.8619666615730175E-3</v>
      </c>
    </row>
    <row r="25" spans="1:23" hidden="1">
      <c r="A25" s="7">
        <v>6</v>
      </c>
      <c r="B25" s="7">
        <v>12</v>
      </c>
      <c r="C25" s="7" t="s">
        <v>8</v>
      </c>
      <c r="D25" s="7">
        <v>162</v>
      </c>
      <c r="E25" s="12">
        <v>0.14043377213786801</v>
      </c>
      <c r="F25" s="10">
        <v>5.8375042065338496</v>
      </c>
      <c r="G25" s="10">
        <v>2.8374331802617199E-8</v>
      </c>
      <c r="H25" s="12">
        <f t="shared" si="0"/>
        <v>1.1010902973388248E-2</v>
      </c>
      <c r="I25" s="12">
        <f t="shared" si="1"/>
        <v>0.14043377213786812</v>
      </c>
      <c r="K25" s="56"/>
      <c r="L25" s="31"/>
      <c r="M25" s="20">
        <v>0.34610000000000002</v>
      </c>
      <c r="N25" s="20">
        <v>1.9786999999999999</v>
      </c>
      <c r="O25" s="20">
        <v>3.5985999999999998</v>
      </c>
      <c r="P25" s="45">
        <v>5.0467000000000004</v>
      </c>
      <c r="R25" s="56"/>
      <c r="S25" s="31"/>
      <c r="T25" s="20">
        <f>M25</f>
        <v>0.34610000000000002</v>
      </c>
      <c r="U25" s="20">
        <f t="shared" ref="U25:W25" si="11">N25</f>
        <v>1.9786999999999999</v>
      </c>
      <c r="V25" s="20">
        <f t="shared" si="11"/>
        <v>3.5985999999999998</v>
      </c>
      <c r="W25" s="45">
        <f t="shared" si="11"/>
        <v>5.0467000000000004</v>
      </c>
    </row>
    <row r="26" spans="1:23">
      <c r="A26" s="7">
        <v>6</v>
      </c>
      <c r="B26" s="7">
        <v>12</v>
      </c>
      <c r="C26" s="7" t="s">
        <v>9</v>
      </c>
      <c r="D26" s="7">
        <v>162</v>
      </c>
      <c r="E26" s="12">
        <v>5.8554443667787698E-2</v>
      </c>
      <c r="F26" s="10">
        <v>2.9992041109934902</v>
      </c>
      <c r="G26" s="10">
        <v>3.1372011889523E-3</v>
      </c>
      <c r="H26" s="12">
        <f t="shared" si="0"/>
        <v>4.7532815891686564E-3</v>
      </c>
      <c r="I26" s="12">
        <f t="shared" si="1"/>
        <v>5.8554443667787615E-2</v>
      </c>
      <c r="K26" s="56" t="s">
        <v>15</v>
      </c>
      <c r="L26" s="32" t="s">
        <v>8</v>
      </c>
      <c r="M26" s="46">
        <v>3.4200000000000001E-2</v>
      </c>
      <c r="N26" s="46">
        <v>6.9400000000000003E-2</v>
      </c>
      <c r="O26" s="46">
        <v>9.8799999999999999E-2</v>
      </c>
      <c r="P26" s="47">
        <v>0.1275</v>
      </c>
      <c r="R26" s="56" t="s">
        <v>15</v>
      </c>
      <c r="S26" s="32" t="s">
        <v>8</v>
      </c>
      <c r="T26" s="46">
        <v>1.1277767539989103E-2</v>
      </c>
      <c r="U26" s="46">
        <v>1.1248419952228472E-2</v>
      </c>
      <c r="V26" s="46">
        <v>1.0527853260665854E-2</v>
      </c>
      <c r="W26" s="47">
        <v>1.0050824816221215E-2</v>
      </c>
    </row>
    <row r="27" spans="1:23" hidden="1">
      <c r="A27" s="6">
        <v>9</v>
      </c>
      <c r="B27" s="6">
        <v>3</v>
      </c>
      <c r="C27" s="6" t="s">
        <v>7</v>
      </c>
      <c r="D27" s="6">
        <v>168</v>
      </c>
      <c r="E27" s="11">
        <v>5.7226963613716004E-3</v>
      </c>
      <c r="F27" s="9">
        <v>0.62111371700929796</v>
      </c>
      <c r="G27" s="9">
        <v>0.53537164745982802</v>
      </c>
      <c r="H27" s="11">
        <f t="shared" si="0"/>
        <v>1.9039381726457805E-3</v>
      </c>
      <c r="I27" s="11">
        <f t="shared" si="1"/>
        <v>2.3088031696005817E-2</v>
      </c>
      <c r="K27" s="56"/>
      <c r="L27" s="31"/>
      <c r="M27" s="20">
        <v>3.4449999999999998</v>
      </c>
      <c r="N27" s="20">
        <v>4.1665000000000001</v>
      </c>
      <c r="O27" s="20">
        <v>4.5236000000000001</v>
      </c>
      <c r="P27" s="45">
        <v>5.1078000000000001</v>
      </c>
      <c r="R27" s="56"/>
      <c r="S27" s="31"/>
      <c r="T27" s="20">
        <f>M27</f>
        <v>3.4449999999999998</v>
      </c>
      <c r="U27" s="20">
        <f t="shared" ref="U27:W27" si="12">N27</f>
        <v>4.1665000000000001</v>
      </c>
      <c r="V27" s="20">
        <f t="shared" si="12"/>
        <v>4.5236000000000001</v>
      </c>
      <c r="W27" s="45">
        <f t="shared" si="12"/>
        <v>5.1078000000000001</v>
      </c>
    </row>
    <row r="28" spans="1:23" hidden="1">
      <c r="A28" s="6">
        <v>9</v>
      </c>
      <c r="B28" s="6">
        <v>3</v>
      </c>
      <c r="C28" s="6" t="s">
        <v>8</v>
      </c>
      <c r="D28" s="6">
        <v>168</v>
      </c>
      <c r="E28" s="11">
        <v>4.7476562162734597E-2</v>
      </c>
      <c r="F28" s="9">
        <v>4.7946363923294602</v>
      </c>
      <c r="G28" s="9">
        <v>3.5860574744823302E-6</v>
      </c>
      <c r="H28" s="11">
        <f t="shared" si="0"/>
        <v>1.5581477315895986E-2</v>
      </c>
      <c r="I28" s="11">
        <f t="shared" si="1"/>
        <v>0.20386352623730319</v>
      </c>
      <c r="K28" s="56" t="s">
        <v>15</v>
      </c>
      <c r="L28" s="33" t="s">
        <v>9</v>
      </c>
      <c r="M28" s="46">
        <v>3.1099999999999999E-2</v>
      </c>
      <c r="N28" s="46">
        <v>4.5600000000000002E-2</v>
      </c>
      <c r="O28" s="46">
        <v>4.2999999999999997E-2</v>
      </c>
      <c r="P28" s="47">
        <v>1.5800000000000002E-2</v>
      </c>
      <c r="R28" s="56" t="s">
        <v>15</v>
      </c>
      <c r="S28" s="33" t="s">
        <v>9</v>
      </c>
      <c r="T28" s="46">
        <v>1.0248544105912361E-2</v>
      </c>
      <c r="U28" s="46">
        <v>7.4660374979016453E-3</v>
      </c>
      <c r="V28" s="46">
        <v>4.6867357771038787E-3</v>
      </c>
      <c r="W28" s="47">
        <v>1.3090816163550123E-3</v>
      </c>
    </row>
    <row r="29" spans="1:23">
      <c r="A29" s="5">
        <v>9</v>
      </c>
      <c r="B29" s="5">
        <v>3</v>
      </c>
      <c r="C29" s="6" t="s">
        <v>9</v>
      </c>
      <c r="D29" s="6">
        <v>168</v>
      </c>
      <c r="E29" s="11">
        <v>4.1753865801362998E-2</v>
      </c>
      <c r="F29" s="9">
        <v>4.4784898993941802</v>
      </c>
      <c r="G29" s="9">
        <v>1.3884989606010899E-5</v>
      </c>
      <c r="H29" s="11">
        <f t="shared" si="0"/>
        <v>1.3728617819708244E-2</v>
      </c>
      <c r="I29" s="11">
        <f t="shared" si="1"/>
        <v>0.17776998675892619</v>
      </c>
      <c r="K29" s="60"/>
      <c r="L29" s="61"/>
      <c r="M29" s="48">
        <v>3.2193000000000001</v>
      </c>
      <c r="N29" s="48">
        <v>3.0390000000000001</v>
      </c>
      <c r="O29" s="48">
        <v>2.2528999999999999</v>
      </c>
      <c r="P29" s="49">
        <v>0.66</v>
      </c>
      <c r="R29" s="60"/>
      <c r="S29" s="61"/>
      <c r="T29" s="48">
        <f>M29</f>
        <v>3.2193000000000001</v>
      </c>
      <c r="U29" s="48">
        <f t="shared" ref="U29:W29" si="13">N29</f>
        <v>3.0390000000000001</v>
      </c>
      <c r="V29" s="48">
        <f t="shared" si="13"/>
        <v>2.2528999999999999</v>
      </c>
      <c r="W29" s="49">
        <f t="shared" si="13"/>
        <v>0.66</v>
      </c>
    </row>
    <row r="30" spans="1:23" hidden="1">
      <c r="A30" s="7">
        <v>9</v>
      </c>
      <c r="B30" s="7">
        <v>6</v>
      </c>
      <c r="C30" s="7" t="s">
        <v>7</v>
      </c>
      <c r="D30" s="7">
        <v>165</v>
      </c>
      <c r="E30" s="12">
        <v>1.9064404536770298E-2</v>
      </c>
      <c r="F30" s="10">
        <v>1.52066577050684</v>
      </c>
      <c r="G30" s="10">
        <v>0.130269392533335</v>
      </c>
      <c r="H30" s="12">
        <f t="shared" si="0"/>
        <v>3.1524512077070188E-3</v>
      </c>
      <c r="I30" s="12">
        <f t="shared" si="1"/>
        <v>3.8492260593882222E-2</v>
      </c>
    </row>
    <row r="31" spans="1:23" hidden="1">
      <c r="A31" s="7">
        <v>9</v>
      </c>
      <c r="B31" s="7">
        <v>6</v>
      </c>
      <c r="C31" s="7" t="s">
        <v>8</v>
      </c>
      <c r="D31" s="7">
        <v>165</v>
      </c>
      <c r="E31" s="12">
        <v>8.2813838738743206E-2</v>
      </c>
      <c r="F31" s="10">
        <v>5.5275748634108401</v>
      </c>
      <c r="G31" s="10">
        <v>1.2550504765941901E-7</v>
      </c>
      <c r="H31" s="12">
        <f t="shared" si="0"/>
        <v>1.3348820341297696E-2</v>
      </c>
      <c r="I31" s="12">
        <f t="shared" si="1"/>
        <v>0.17248580936413282</v>
      </c>
    </row>
    <row r="32" spans="1:23">
      <c r="A32" s="2">
        <v>9</v>
      </c>
      <c r="B32" s="2">
        <v>6</v>
      </c>
      <c r="C32" s="7" t="s">
        <v>9</v>
      </c>
      <c r="D32" s="7">
        <v>165</v>
      </c>
      <c r="E32" s="12">
        <v>6.3749434201972793E-2</v>
      </c>
      <c r="F32" s="10">
        <v>4.8542667598914599</v>
      </c>
      <c r="G32" s="10">
        <v>2.7966467463798202E-6</v>
      </c>
      <c r="H32" s="12">
        <f t="shared" si="0"/>
        <v>1.0353205534288756E-2</v>
      </c>
      <c r="I32" s="12">
        <f t="shared" si="1"/>
        <v>0.1315628587650175</v>
      </c>
    </row>
    <row r="33" spans="1:9" hidden="1">
      <c r="A33" s="6">
        <v>9</v>
      </c>
      <c r="B33" s="6">
        <v>9</v>
      </c>
      <c r="C33" s="6" t="s">
        <v>7</v>
      </c>
      <c r="D33" s="6">
        <v>162</v>
      </c>
      <c r="E33" s="11">
        <v>4.1532029816456699E-2</v>
      </c>
      <c r="F33" s="9">
        <v>2.7010569714517301</v>
      </c>
      <c r="G33" s="9">
        <v>7.6518669018028002E-3</v>
      </c>
      <c r="H33" s="11">
        <f t="shared" si="0"/>
        <v>4.531651996193542E-3</v>
      </c>
      <c r="I33" s="11">
        <f t="shared" si="1"/>
        <v>5.575587514746938E-2</v>
      </c>
    </row>
    <row r="34" spans="1:9" hidden="1">
      <c r="A34" s="6">
        <v>9</v>
      </c>
      <c r="B34" s="6">
        <v>9</v>
      </c>
      <c r="C34" s="6" t="s">
        <v>8</v>
      </c>
      <c r="D34" s="6">
        <v>162</v>
      </c>
      <c r="E34" s="11">
        <v>0.105106704505111</v>
      </c>
      <c r="F34" s="9">
        <v>5.0879539369324496</v>
      </c>
      <c r="G34" s="9">
        <v>9.9809649830817391E-7</v>
      </c>
      <c r="H34" s="11">
        <f t="shared" si="0"/>
        <v>1.1166540594599317E-2</v>
      </c>
      <c r="I34" s="11">
        <f t="shared" si="1"/>
        <v>0.14254229252388018</v>
      </c>
    </row>
    <row r="35" spans="1:9">
      <c r="A35" s="5">
        <v>9</v>
      </c>
      <c r="B35" s="5">
        <v>9</v>
      </c>
      <c r="C35" s="6" t="s">
        <v>9</v>
      </c>
      <c r="D35" s="6">
        <v>162</v>
      </c>
      <c r="E35" s="11">
        <v>6.3574674688654201E-2</v>
      </c>
      <c r="F35" s="9">
        <v>3.78555063063917</v>
      </c>
      <c r="G35" s="9">
        <v>2.1607644336560001E-4</v>
      </c>
      <c r="H35" s="11">
        <f t="shared" si="0"/>
        <v>6.8719004659985039E-3</v>
      </c>
      <c r="I35" s="11">
        <f t="shared" si="1"/>
        <v>8.5652033350794632E-2</v>
      </c>
    </row>
    <row r="36" spans="1:9" hidden="1">
      <c r="A36" s="7">
        <v>9</v>
      </c>
      <c r="B36" s="7">
        <v>12</v>
      </c>
      <c r="C36" s="7" t="s">
        <v>7</v>
      </c>
      <c r="D36" s="7">
        <v>159</v>
      </c>
      <c r="E36" s="12">
        <v>8.7932479202326996E-2</v>
      </c>
      <c r="F36" s="10">
        <v>3.9626312204901</v>
      </c>
      <c r="G36" s="10">
        <v>1.1196715163779999E-4</v>
      </c>
      <c r="H36" s="12">
        <f t="shared" si="0"/>
        <v>7.0479781569972033E-3</v>
      </c>
      <c r="I36" s="12">
        <f t="shared" si="1"/>
        <v>8.7932479202327052E-2</v>
      </c>
    </row>
    <row r="37" spans="1:9" hidden="1">
      <c r="A37" s="7">
        <v>9</v>
      </c>
      <c r="B37" s="7">
        <v>12</v>
      </c>
      <c r="C37" s="7" t="s">
        <v>8</v>
      </c>
      <c r="D37" s="7">
        <v>159</v>
      </c>
      <c r="E37" s="12">
        <v>0.12515432809530999</v>
      </c>
      <c r="F37" s="10">
        <v>5.1573423463941896</v>
      </c>
      <c r="G37" s="10">
        <v>7.4079001895500695E-7</v>
      </c>
      <c r="H37" s="12">
        <f t="shared" si="0"/>
        <v>9.8751242957872964E-3</v>
      </c>
      <c r="I37" s="12">
        <f t="shared" si="1"/>
        <v>0.12515432809531002</v>
      </c>
    </row>
    <row r="38" spans="1:9">
      <c r="A38" s="7">
        <v>9</v>
      </c>
      <c r="B38" s="7">
        <v>12</v>
      </c>
      <c r="C38" s="7" t="s">
        <v>9</v>
      </c>
      <c r="D38" s="7">
        <v>159</v>
      </c>
      <c r="E38" s="12">
        <v>3.7221848892983703E-2</v>
      </c>
      <c r="F38" s="10">
        <v>1.7704253943588899</v>
      </c>
      <c r="G38" s="10">
        <v>7.8584760457131003E-2</v>
      </c>
      <c r="H38" s="12">
        <f t="shared" si="0"/>
        <v>3.0501288496465051E-3</v>
      </c>
      <c r="I38" s="12">
        <f t="shared" si="1"/>
        <v>3.7221848892983633E-2</v>
      </c>
    </row>
    <row r="39" spans="1:9" hidden="1">
      <c r="A39" s="6">
        <v>12</v>
      </c>
      <c r="B39" s="6">
        <v>3</v>
      </c>
      <c r="C39" s="6" t="s">
        <v>7</v>
      </c>
      <c r="D39" s="6">
        <v>165</v>
      </c>
      <c r="E39" s="11">
        <v>3.1544944207615999E-3</v>
      </c>
      <c r="F39" s="9">
        <v>0.346098284987709</v>
      </c>
      <c r="G39" s="9">
        <v>0.72971245346143698</v>
      </c>
      <c r="H39" s="11">
        <f t="shared" si="0"/>
        <v>1.0503944254947051E-3</v>
      </c>
      <c r="I39" s="11">
        <f t="shared" si="1"/>
        <v>1.2677808351783559E-2</v>
      </c>
    </row>
    <row r="40" spans="1:9" hidden="1">
      <c r="A40" s="6">
        <v>12</v>
      </c>
      <c r="B40" s="6">
        <v>3</v>
      </c>
      <c r="C40" s="6" t="s">
        <v>8</v>
      </c>
      <c r="D40" s="6">
        <v>165</v>
      </c>
      <c r="E40" s="11">
        <v>3.4216301139181803E-2</v>
      </c>
      <c r="F40" s="9">
        <v>3.4450217272014401</v>
      </c>
      <c r="G40" s="9">
        <v>7.2512346643099999E-4</v>
      </c>
      <c r="H40" s="11">
        <f t="shared" si="0"/>
        <v>1.1277767539989103E-2</v>
      </c>
      <c r="I40" s="11">
        <f t="shared" si="1"/>
        <v>0.1440513424651424</v>
      </c>
    </row>
    <row r="41" spans="1:9">
      <c r="A41" s="5">
        <v>12</v>
      </c>
      <c r="B41" s="5">
        <v>3</v>
      </c>
      <c r="C41" s="6" t="s">
        <v>9</v>
      </c>
      <c r="D41" s="6">
        <v>165</v>
      </c>
      <c r="E41" s="11">
        <v>3.1061806718420199E-2</v>
      </c>
      <c r="F41" s="9">
        <v>3.2193071910272999</v>
      </c>
      <c r="G41" s="9">
        <v>1.5491643974183001E-3</v>
      </c>
      <c r="H41" s="11">
        <f t="shared" si="0"/>
        <v>1.0248544105912361E-2</v>
      </c>
      <c r="I41" s="11">
        <f t="shared" si="1"/>
        <v>0.13015705097863539</v>
      </c>
    </row>
    <row r="42" spans="1:9" hidden="1">
      <c r="A42" s="7">
        <v>12</v>
      </c>
      <c r="B42" s="7">
        <v>6</v>
      </c>
      <c r="C42" s="7" t="s">
        <v>7</v>
      </c>
      <c r="D42" s="7">
        <v>162</v>
      </c>
      <c r="E42" s="12">
        <v>2.37764089014415E-2</v>
      </c>
      <c r="F42" s="10">
        <v>1.9787205529382299</v>
      </c>
      <c r="G42" s="10">
        <v>4.9553194288381397E-2</v>
      </c>
      <c r="H42" s="12">
        <f t="shared" si="0"/>
        <v>3.9240376360953899E-3</v>
      </c>
      <c r="I42" s="12">
        <f t="shared" si="1"/>
        <v>4.8118135423131259E-2</v>
      </c>
    </row>
    <row r="43" spans="1:9" hidden="1">
      <c r="A43" s="7">
        <v>12</v>
      </c>
      <c r="B43" s="7">
        <v>6</v>
      </c>
      <c r="C43" s="7" t="s">
        <v>8</v>
      </c>
      <c r="D43" s="7">
        <v>162</v>
      </c>
      <c r="E43" s="12">
        <v>6.9417129768921698E-2</v>
      </c>
      <c r="F43" s="10">
        <v>4.1664639157073999</v>
      </c>
      <c r="G43" s="10">
        <v>5.03434206651582E-5</v>
      </c>
      <c r="H43" s="12">
        <f t="shared" si="0"/>
        <v>1.1248419952228472E-2</v>
      </c>
      <c r="I43" s="12">
        <f t="shared" si="1"/>
        <v>0.14365299744319859</v>
      </c>
    </row>
    <row r="44" spans="1:9">
      <c r="A44" s="7">
        <v>12</v>
      </c>
      <c r="B44" s="7">
        <v>6</v>
      </c>
      <c r="C44" s="7" t="s">
        <v>9</v>
      </c>
      <c r="D44" s="7">
        <v>162</v>
      </c>
      <c r="E44" s="12">
        <v>4.5640720867480201E-2</v>
      </c>
      <c r="F44" s="10">
        <v>3.0390235545502402</v>
      </c>
      <c r="G44" s="10">
        <v>2.7705034615846998E-3</v>
      </c>
      <c r="H44" s="12">
        <f t="shared" si="0"/>
        <v>7.4660374979016453E-3</v>
      </c>
      <c r="I44" s="12">
        <f t="shared" si="1"/>
        <v>9.3364517136263814E-2</v>
      </c>
    </row>
    <row r="45" spans="1:9" hidden="1">
      <c r="A45" s="6">
        <v>12</v>
      </c>
      <c r="B45" s="6">
        <v>9</v>
      </c>
      <c r="C45" s="6" t="s">
        <v>7</v>
      </c>
      <c r="D45" s="6">
        <v>159</v>
      </c>
      <c r="E45" s="11">
        <v>5.5860256709758402E-2</v>
      </c>
      <c r="F45" s="9">
        <v>3.5985520048489699</v>
      </c>
      <c r="G45" s="9">
        <v>4.2768990393220001E-4</v>
      </c>
      <c r="H45" s="11">
        <f t="shared" si="0"/>
        <v>6.0578129901176503E-3</v>
      </c>
      <c r="I45" s="11">
        <f t="shared" si="1"/>
        <v>7.5165344391071587E-2</v>
      </c>
    </row>
    <row r="46" spans="1:9" hidden="1">
      <c r="A46" s="6">
        <v>12</v>
      </c>
      <c r="B46" s="6">
        <v>9</v>
      </c>
      <c r="C46" s="6" t="s">
        <v>8</v>
      </c>
      <c r="D46" s="6">
        <v>159</v>
      </c>
      <c r="E46" s="11">
        <v>9.8840345005644106E-2</v>
      </c>
      <c r="F46" s="9">
        <v>4.5235667867937197</v>
      </c>
      <c r="G46" s="9">
        <v>1.18844311783479E-5</v>
      </c>
      <c r="H46" s="11">
        <f t="shared" si="0"/>
        <v>1.0527853260665854E-2</v>
      </c>
      <c r="I46" s="11">
        <f t="shared" si="1"/>
        <v>0.13391228912558018</v>
      </c>
    </row>
    <row r="47" spans="1:9">
      <c r="A47" s="6">
        <v>12</v>
      </c>
      <c r="B47" s="6">
        <v>9</v>
      </c>
      <c r="C47" s="6" t="s">
        <v>9</v>
      </c>
      <c r="D47" s="6">
        <v>159</v>
      </c>
      <c r="E47" s="11">
        <v>4.2980088295885698E-2</v>
      </c>
      <c r="F47" s="9">
        <v>2.2529072878399798</v>
      </c>
      <c r="G47" s="9">
        <v>2.5641547928063699E-2</v>
      </c>
      <c r="H47" s="11">
        <f t="shared" si="0"/>
        <v>4.6867357771038787E-3</v>
      </c>
      <c r="I47" s="11">
        <f t="shared" si="1"/>
        <v>5.7713440663983206E-2</v>
      </c>
    </row>
    <row r="48" spans="1:9" hidden="1">
      <c r="A48" s="7">
        <v>12</v>
      </c>
      <c r="B48" s="7">
        <v>12</v>
      </c>
      <c r="C48" s="7" t="s">
        <v>7</v>
      </c>
      <c r="D48" s="7">
        <v>156</v>
      </c>
      <c r="E48" s="12">
        <v>0.11168308391100799</v>
      </c>
      <c r="F48" s="10">
        <v>5.0466906839338996</v>
      </c>
      <c r="G48" s="10">
        <v>1.2453457932528399E-6</v>
      </c>
      <c r="H48" s="12">
        <f t="shared" si="0"/>
        <v>8.8619666615730175E-3</v>
      </c>
      <c r="I48" s="12">
        <f t="shared" si="1"/>
        <v>0.1116830839110079</v>
      </c>
    </row>
    <row r="49" spans="1:9" hidden="1">
      <c r="A49" s="7">
        <v>12</v>
      </c>
      <c r="B49" s="7">
        <v>12</v>
      </c>
      <c r="C49" s="7" t="s">
        <v>8</v>
      </c>
      <c r="D49" s="7">
        <v>156</v>
      </c>
      <c r="E49" s="12">
        <v>0.127505662153338</v>
      </c>
      <c r="F49" s="10">
        <v>5.1078009477432502</v>
      </c>
      <c r="G49" s="10">
        <v>9.4539764901292798E-7</v>
      </c>
      <c r="H49" s="12">
        <f t="shared" si="0"/>
        <v>1.0050824816221215E-2</v>
      </c>
      <c r="I49" s="12">
        <f t="shared" si="1"/>
        <v>0.12750566215333792</v>
      </c>
    </row>
    <row r="50" spans="1:9">
      <c r="A50" s="7">
        <v>12</v>
      </c>
      <c r="B50" s="7">
        <v>12</v>
      </c>
      <c r="C50" s="7" t="s">
        <v>9</v>
      </c>
      <c r="D50" s="7">
        <v>156</v>
      </c>
      <c r="E50" s="12">
        <v>1.5822578242329799E-2</v>
      </c>
      <c r="F50" s="10">
        <v>0.65997902248077001</v>
      </c>
      <c r="G50" s="10">
        <v>0.51024680189673999</v>
      </c>
      <c r="H50" s="12">
        <f t="shared" si="0"/>
        <v>1.3090816163550123E-3</v>
      </c>
      <c r="I50" s="12">
        <f t="shared" si="1"/>
        <v>1.5822578242329799E-2</v>
      </c>
    </row>
  </sheetData>
  <autoFilter ref="A2:W50" xr:uid="{60641E96-17E1-4C28-95A7-3B3EADA10A6C}">
    <filterColumn colId="2">
      <filters>
        <filter val="winner - loser"/>
      </filters>
    </filterColumn>
  </autoFilter>
  <mergeCells count="35">
    <mergeCell ref="R24:R29"/>
    <mergeCell ref="S24:S25"/>
    <mergeCell ref="S26:S27"/>
    <mergeCell ref="S28:S29"/>
    <mergeCell ref="A1:I1"/>
    <mergeCell ref="R12:R17"/>
    <mergeCell ref="S12:S13"/>
    <mergeCell ref="S14:S15"/>
    <mergeCell ref="S16:S17"/>
    <mergeCell ref="R18:R23"/>
    <mergeCell ref="S18:S19"/>
    <mergeCell ref="S20:S21"/>
    <mergeCell ref="S22:S23"/>
    <mergeCell ref="K4:P4"/>
    <mergeCell ref="R4:W4"/>
    <mergeCell ref="R6:R11"/>
    <mergeCell ref="S6:S7"/>
    <mergeCell ref="S8:S9"/>
    <mergeCell ref="S10:S11"/>
    <mergeCell ref="K6:K11"/>
    <mergeCell ref="L6:L7"/>
    <mergeCell ref="L8:L9"/>
    <mergeCell ref="L10:L11"/>
    <mergeCell ref="K12:K17"/>
    <mergeCell ref="L12:L13"/>
    <mergeCell ref="L14:L15"/>
    <mergeCell ref="L16:L17"/>
    <mergeCell ref="K18:K23"/>
    <mergeCell ref="L18:L19"/>
    <mergeCell ref="L20:L21"/>
    <mergeCell ref="L22:L23"/>
    <mergeCell ref="K24:K29"/>
    <mergeCell ref="L24:L25"/>
    <mergeCell ref="L26:L27"/>
    <mergeCell ref="L28:L29"/>
  </mergeCells>
  <phoneticPr fontId="19" type="noConversion"/>
  <conditionalFormatting sqref="E2:E50">
    <cfRule type="cellIs" dxfId="93" priority="22" operator="lessThan">
      <formula>0</formula>
    </cfRule>
    <cfRule type="cellIs" dxfId="92" priority="23" operator="greaterThan">
      <formula>0</formula>
    </cfRule>
  </conditionalFormatting>
  <conditionalFormatting sqref="G2:G50">
    <cfRule type="cellIs" dxfId="91" priority="21" operator="lessThan">
      <formula>0.05</formula>
    </cfRule>
  </conditionalFormatting>
  <conditionalFormatting sqref="M6:P6 M8:P8 M10:P10 M12:P12 M14:P14 M16:P16 M18:P18 M20:P20 M22:P22 M24:P24 M26:P26 M28:P28">
    <cfRule type="expression" dxfId="90" priority="11">
      <formula>OR(M7&gt;1.96,M7&lt;-1.96)</formula>
    </cfRule>
  </conditionalFormatting>
  <conditionalFormatting sqref="M7:P7 M9:P9 M11:P11">
    <cfRule type="cellIs" dxfId="89" priority="10" operator="between">
      <formula>-1.96</formula>
      <formula>1.96</formula>
    </cfRule>
    <cfRule type="cellIs" dxfId="88" priority="12" operator="notBetween">
      <formula>1.96</formula>
      <formula>-1.96</formula>
    </cfRule>
  </conditionalFormatting>
  <conditionalFormatting sqref="M13:P13 M15:P15 M17:P17 M19:P19 M21:P21 M23:P23 M25:P25 M27:P27 M29:P29">
    <cfRule type="cellIs" dxfId="87" priority="8" operator="between">
      <formula>-1.96</formula>
      <formula>1.96</formula>
    </cfRule>
    <cfRule type="cellIs" dxfId="86" priority="9" operator="notBetween">
      <formula>1.96</formula>
      <formula>-1.96</formula>
    </cfRule>
  </conditionalFormatting>
  <conditionalFormatting sqref="H2:I50">
    <cfRule type="cellIs" dxfId="85" priority="6" operator="lessThan">
      <formula>0</formula>
    </cfRule>
    <cfRule type="cellIs" dxfId="84" priority="7" operator="greaterThan">
      <formula>0</formula>
    </cfRule>
  </conditionalFormatting>
  <conditionalFormatting sqref="T6:W6 T8:W8 T10:W10 T12:W12 T14:W14 T16:W16 T18:W18 T20:W20 T22:W22 T24:W24 T26:W26 T28:W28">
    <cfRule type="expression" dxfId="83" priority="4">
      <formula>OR(T7&gt;1.96,T7&lt;-1.96)</formula>
    </cfRule>
  </conditionalFormatting>
  <conditionalFormatting sqref="T7:W7 T9:W9 T11:W11">
    <cfRule type="cellIs" dxfId="82" priority="3" operator="between">
      <formula>-1.96</formula>
      <formula>1.96</formula>
    </cfRule>
    <cfRule type="cellIs" dxfId="81" priority="5" operator="notBetween">
      <formula>1.96</formula>
      <formula>-1.96</formula>
    </cfRule>
  </conditionalFormatting>
  <conditionalFormatting sqref="T13:W13 T15:W15 T17:W17 T19:W19 T21:W21 T23:W23 T25:W25 T27:W27 T29:W29">
    <cfRule type="cellIs" dxfId="80" priority="1" operator="between">
      <formula>-1.96</formula>
      <formula>1.96</formula>
    </cfRule>
    <cfRule type="cellIs" dxfId="79" priority="2" operator="notBetween">
      <formula>1.96</formula>
      <formula>-1.96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2766-CA57-4195-AB5D-D953190D2612}">
  <dimension ref="A1:W50"/>
  <sheetViews>
    <sheetView topLeftCell="H1" zoomScaleNormal="100" workbookViewId="0">
      <pane ySplit="2" topLeftCell="A3" activePane="bottomLeft" state="frozen"/>
      <selection pane="bottomLeft" activeCell="U38" sqref="U38"/>
    </sheetView>
  </sheetViews>
  <sheetFormatPr defaultRowHeight="16.5"/>
  <cols>
    <col min="3" max="3" width="13.375" customWidth="1"/>
    <col min="6" max="6" width="9.75" customWidth="1"/>
    <col min="7" max="7" width="10.75" customWidth="1"/>
    <col min="8" max="9" width="14.625" customWidth="1"/>
    <col min="10" max="10" width="9" customWidth="1"/>
    <col min="11" max="11" width="10.625" customWidth="1"/>
    <col min="12" max="12" width="15.625" customWidth="1"/>
    <col min="13" max="18" width="10.625" customWidth="1"/>
    <col min="19" max="19" width="15.625" customWidth="1"/>
    <col min="20" max="23" width="10.625" customWidth="1"/>
  </cols>
  <sheetData>
    <row r="1" spans="1:23">
      <c r="A1" s="29" t="s">
        <v>19</v>
      </c>
      <c r="B1" s="29"/>
      <c r="C1" s="29"/>
      <c r="D1" s="29"/>
      <c r="E1" s="29"/>
      <c r="F1" s="29"/>
      <c r="G1" s="29"/>
      <c r="H1" s="29"/>
      <c r="I1" s="29"/>
    </row>
    <row r="2" spans="1:23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23</v>
      </c>
      <c r="I2" s="4" t="s">
        <v>24</v>
      </c>
    </row>
    <row r="3" spans="1:23">
      <c r="A3" s="6">
        <v>3</v>
      </c>
      <c r="B3" s="6">
        <v>3</v>
      </c>
      <c r="C3" s="6" t="s">
        <v>7</v>
      </c>
      <c r="D3" s="6">
        <v>114</v>
      </c>
      <c r="E3" s="11">
        <v>1.2676155267130999E-3</v>
      </c>
      <c r="F3" s="9">
        <v>0.127652013401201</v>
      </c>
      <c r="G3" s="9">
        <v>0.89865125913546695</v>
      </c>
      <c r="H3" s="11">
        <f>(1 + E3)^(1 / B3) - 1</f>
        <v>4.2236009573914934E-4</v>
      </c>
      <c r="I3" s="11">
        <f>(1 + E3)^(12 / B3) - 1</f>
        <v>5.0801113516432128E-3</v>
      </c>
    </row>
    <row r="4" spans="1:23">
      <c r="A4" s="6">
        <v>3</v>
      </c>
      <c r="B4" s="6">
        <v>3</v>
      </c>
      <c r="C4" s="6" t="s">
        <v>8</v>
      </c>
      <c r="D4" s="6">
        <v>114</v>
      </c>
      <c r="E4" s="11">
        <v>2.4591457834495602E-2</v>
      </c>
      <c r="F4" s="9">
        <v>2.9832338535301401</v>
      </c>
      <c r="G4" s="9">
        <v>3.4952799955570999E-3</v>
      </c>
      <c r="H4" s="11">
        <f t="shared" ref="H4:H50" si="0">(1 + E4)^(1 / B4) - 1</f>
        <v>8.1308625067804119E-3</v>
      </c>
      <c r="I4" s="11">
        <f t="shared" ref="I4:I50" si="1">(1 + E4)^(12 / B4) - 1</f>
        <v>0.10205412157177629</v>
      </c>
      <c r="K4" s="41" t="s">
        <v>19</v>
      </c>
      <c r="L4" s="41"/>
      <c r="M4" s="41"/>
      <c r="N4" s="41"/>
      <c r="O4" s="41"/>
      <c r="P4" s="41"/>
      <c r="R4" s="41" t="s">
        <v>29</v>
      </c>
      <c r="S4" s="41"/>
      <c r="T4" s="41"/>
      <c r="U4" s="41"/>
      <c r="V4" s="41"/>
      <c r="W4" s="41"/>
    </row>
    <row r="5" spans="1:23" ht="17.25" thickBot="1">
      <c r="A5" s="5">
        <v>3</v>
      </c>
      <c r="B5" s="5">
        <v>3</v>
      </c>
      <c r="C5" s="6" t="s">
        <v>9</v>
      </c>
      <c r="D5" s="6">
        <v>114</v>
      </c>
      <c r="E5" s="11">
        <v>2.3323842307782498E-2</v>
      </c>
      <c r="F5" s="9">
        <v>3.66736435523846</v>
      </c>
      <c r="G5" s="9">
        <v>3.751809064949E-4</v>
      </c>
      <c r="H5" s="11">
        <f t="shared" si="0"/>
        <v>7.7149407269514469E-3</v>
      </c>
      <c r="I5" s="11">
        <f t="shared" si="1"/>
        <v>9.6610427720881908E-2</v>
      </c>
      <c r="K5" s="53" t="s">
        <v>16</v>
      </c>
      <c r="L5" s="26" t="s">
        <v>17</v>
      </c>
      <c r="M5" s="27" t="s">
        <v>12</v>
      </c>
      <c r="N5" s="27" t="s">
        <v>13</v>
      </c>
      <c r="O5" s="27" t="s">
        <v>14</v>
      </c>
      <c r="P5" s="54" t="s">
        <v>15</v>
      </c>
      <c r="R5" s="53" t="s">
        <v>16</v>
      </c>
      <c r="S5" s="26" t="s">
        <v>17</v>
      </c>
      <c r="T5" s="27" t="s">
        <v>12</v>
      </c>
      <c r="U5" s="27" t="s">
        <v>13</v>
      </c>
      <c r="V5" s="27" t="s">
        <v>14</v>
      </c>
      <c r="W5" s="54" t="s">
        <v>15</v>
      </c>
    </row>
    <row r="6" spans="1:23" hidden="1">
      <c r="A6" s="7">
        <v>3</v>
      </c>
      <c r="B6" s="7">
        <v>6</v>
      </c>
      <c r="C6" s="7" t="s">
        <v>7</v>
      </c>
      <c r="D6" s="7">
        <v>111</v>
      </c>
      <c r="E6" s="12">
        <v>-2.2454643896497998E-3</v>
      </c>
      <c r="F6" s="10">
        <v>-0.19245858023207699</v>
      </c>
      <c r="G6" s="10">
        <v>0.84773787571883197</v>
      </c>
      <c r="H6" s="12">
        <f t="shared" si="0"/>
        <v>-3.7459469273848356E-4</v>
      </c>
      <c r="I6" s="12">
        <f t="shared" si="1"/>
        <v>-4.4858866689744259E-3</v>
      </c>
      <c r="K6" s="55" t="s">
        <v>12</v>
      </c>
      <c r="L6" s="39" t="s">
        <v>7</v>
      </c>
      <c r="M6" s="46">
        <v>1.2676155267130999E-3</v>
      </c>
      <c r="N6" s="46">
        <v>-2.2454643896497998E-3</v>
      </c>
      <c r="O6" s="46">
        <v>-4.9802207879865003E-3</v>
      </c>
      <c r="P6" s="47">
        <v>3.1250864080149999E-4</v>
      </c>
      <c r="R6" s="55" t="s">
        <v>12</v>
      </c>
      <c r="S6" s="39" t="s">
        <v>7</v>
      </c>
      <c r="T6" s="46">
        <v>4.2236009573914934E-4</v>
      </c>
      <c r="U6" s="46">
        <v>-3.7459469273848356E-4</v>
      </c>
      <c r="V6" s="46">
        <v>-5.5458653956874659E-4</v>
      </c>
      <c r="W6" s="47">
        <v>2.603865734562838E-5</v>
      </c>
    </row>
    <row r="7" spans="1:23" hidden="1">
      <c r="A7" s="7">
        <v>3</v>
      </c>
      <c r="B7" s="7">
        <v>6</v>
      </c>
      <c r="C7" s="7" t="s">
        <v>8</v>
      </c>
      <c r="D7" s="7">
        <v>111</v>
      </c>
      <c r="E7" s="12">
        <v>4.6514485130783302E-2</v>
      </c>
      <c r="F7" s="10">
        <v>3.8905337675188099</v>
      </c>
      <c r="G7" s="10">
        <v>1.7170331339619999E-4</v>
      </c>
      <c r="H7" s="12">
        <f t="shared" si="0"/>
        <v>7.6062994225785108E-3</v>
      </c>
      <c r="I7" s="12">
        <f t="shared" si="1"/>
        <v>9.5192567588548327E-2</v>
      </c>
      <c r="K7" s="56"/>
      <c r="L7" s="31"/>
      <c r="M7" s="20">
        <v>0.12770000000000001</v>
      </c>
      <c r="N7" s="20">
        <v>-0.1925</v>
      </c>
      <c r="O7" s="20">
        <v>-0.38109999999999999</v>
      </c>
      <c r="P7" s="45">
        <v>1.95E-2</v>
      </c>
      <c r="R7" s="56"/>
      <c r="S7" s="31"/>
      <c r="T7" s="20">
        <f>M7</f>
        <v>0.12770000000000001</v>
      </c>
      <c r="U7" s="20">
        <f t="shared" ref="U7:W7" si="2">N7</f>
        <v>-0.1925</v>
      </c>
      <c r="V7" s="20">
        <f t="shared" si="2"/>
        <v>-0.38109999999999999</v>
      </c>
      <c r="W7" s="45">
        <f t="shared" si="2"/>
        <v>1.95E-2</v>
      </c>
    </row>
    <row r="8" spans="1:23" hidden="1">
      <c r="A8" s="2">
        <v>3</v>
      </c>
      <c r="B8" s="2">
        <v>6</v>
      </c>
      <c r="C8" s="7" t="s">
        <v>9</v>
      </c>
      <c r="D8" s="7">
        <v>111</v>
      </c>
      <c r="E8" s="12">
        <v>4.8759949520433103E-2</v>
      </c>
      <c r="F8" s="10">
        <v>7.1727799005828103</v>
      </c>
      <c r="G8" s="10">
        <v>9.0227491087471003E-11</v>
      </c>
      <c r="H8" s="12">
        <f t="shared" si="0"/>
        <v>7.9663078081129157E-3</v>
      </c>
      <c r="I8" s="12">
        <f t="shared" si="1"/>
        <v>9.9897431718101615E-2</v>
      </c>
      <c r="K8" s="56" t="s">
        <v>12</v>
      </c>
      <c r="L8" s="32" t="s">
        <v>8</v>
      </c>
      <c r="M8" s="46">
        <v>2.4591457834495602E-2</v>
      </c>
      <c r="N8" s="46">
        <v>4.6514485130783302E-2</v>
      </c>
      <c r="O8" s="46">
        <v>6.2453828535481599E-2</v>
      </c>
      <c r="P8" s="47">
        <v>6.6481726661294302E-2</v>
      </c>
      <c r="R8" s="56" t="s">
        <v>12</v>
      </c>
      <c r="S8" s="32" t="s">
        <v>8</v>
      </c>
      <c r="T8" s="46">
        <v>8.1308625067804119E-3</v>
      </c>
      <c r="U8" s="46">
        <v>7.6062994225785108E-3</v>
      </c>
      <c r="V8" s="46">
        <v>6.7539463146371048E-3</v>
      </c>
      <c r="W8" s="47">
        <v>5.3781711207152583E-3</v>
      </c>
    </row>
    <row r="9" spans="1:23" hidden="1">
      <c r="A9" s="6">
        <v>3</v>
      </c>
      <c r="B9" s="6">
        <v>9</v>
      </c>
      <c r="C9" s="6" t="s">
        <v>7</v>
      </c>
      <c r="D9" s="6">
        <v>108</v>
      </c>
      <c r="E9" s="11">
        <v>-4.9802207879865003E-3</v>
      </c>
      <c r="F9" s="9">
        <v>-0.38114629758028701</v>
      </c>
      <c r="G9" s="9">
        <v>0.70385043948405301</v>
      </c>
      <c r="H9" s="11">
        <f t="shared" si="0"/>
        <v>-5.5458653956874659E-4</v>
      </c>
      <c r="I9" s="11">
        <f t="shared" si="1"/>
        <v>-6.6347765827297067E-3</v>
      </c>
      <c r="K9" s="56"/>
      <c r="L9" s="31"/>
      <c r="M9" s="20">
        <v>2.9832000000000001</v>
      </c>
      <c r="N9" s="20">
        <v>3.8904999999999998</v>
      </c>
      <c r="O9" s="20">
        <v>4.2088000000000001</v>
      </c>
      <c r="P9" s="45">
        <v>3.7414999999999998</v>
      </c>
      <c r="R9" s="56"/>
      <c r="S9" s="31"/>
      <c r="T9" s="20">
        <f>M9</f>
        <v>2.9832000000000001</v>
      </c>
      <c r="U9" s="20">
        <f t="shared" ref="U9:W9" si="3">N9</f>
        <v>3.8904999999999998</v>
      </c>
      <c r="V9" s="20">
        <f t="shared" si="3"/>
        <v>4.2088000000000001</v>
      </c>
      <c r="W9" s="45">
        <f t="shared" si="3"/>
        <v>3.7414999999999998</v>
      </c>
    </row>
    <row r="10" spans="1:23">
      <c r="A10" s="6">
        <v>3</v>
      </c>
      <c r="B10" s="6">
        <v>9</v>
      </c>
      <c r="C10" s="6" t="s">
        <v>8</v>
      </c>
      <c r="D10" s="6">
        <v>108</v>
      </c>
      <c r="E10" s="11">
        <v>6.2453828535481599E-2</v>
      </c>
      <c r="F10" s="9">
        <v>4.20880434785182</v>
      </c>
      <c r="G10" s="9">
        <v>5.3598713981954997E-5</v>
      </c>
      <c r="H10" s="11">
        <f t="shared" si="0"/>
        <v>6.7539463146371048E-3</v>
      </c>
      <c r="I10" s="11">
        <f t="shared" si="1"/>
        <v>8.412681823719792E-2</v>
      </c>
      <c r="K10" s="56" t="s">
        <v>12</v>
      </c>
      <c r="L10" s="33" t="s">
        <v>9</v>
      </c>
      <c r="M10" s="46">
        <v>2.3323842307782498E-2</v>
      </c>
      <c r="N10" s="46">
        <v>4.8759949520433103E-2</v>
      </c>
      <c r="O10" s="46">
        <v>6.7434049323468095E-2</v>
      </c>
      <c r="P10" s="47">
        <v>6.6169218020492707E-2</v>
      </c>
      <c r="R10" s="56" t="s">
        <v>12</v>
      </c>
      <c r="S10" s="33" t="s">
        <v>9</v>
      </c>
      <c r="T10" s="46">
        <v>7.7149407269514469E-3</v>
      </c>
      <c r="U10" s="46">
        <v>7.9663078081129157E-3</v>
      </c>
      <c r="V10" s="46">
        <v>7.2772048373723752E-3</v>
      </c>
      <c r="W10" s="47">
        <v>5.3536175221247095E-3</v>
      </c>
    </row>
    <row r="11" spans="1:23">
      <c r="A11" s="5">
        <v>3</v>
      </c>
      <c r="B11" s="5">
        <v>9</v>
      </c>
      <c r="C11" s="6" t="s">
        <v>9</v>
      </c>
      <c r="D11" s="6">
        <v>108</v>
      </c>
      <c r="E11" s="11">
        <v>6.7434049323468095E-2</v>
      </c>
      <c r="F11" s="9">
        <v>8.6905835945024705</v>
      </c>
      <c r="G11" s="9">
        <v>4.6078621241686099E-14</v>
      </c>
      <c r="H11" s="11">
        <f t="shared" si="0"/>
        <v>7.2772048373723752E-3</v>
      </c>
      <c r="I11" s="11">
        <f t="shared" si="1"/>
        <v>9.090785596679174E-2</v>
      </c>
      <c r="K11" s="57"/>
      <c r="L11" s="34"/>
      <c r="M11" s="22">
        <v>3.6674000000000002</v>
      </c>
      <c r="N11" s="22">
        <v>7.1727999999999996</v>
      </c>
      <c r="O11" s="22">
        <v>8.6905999999999999</v>
      </c>
      <c r="P11" s="58">
        <v>7.0267999999999997</v>
      </c>
      <c r="R11" s="57"/>
      <c r="S11" s="34"/>
      <c r="T11" s="22">
        <f>M11</f>
        <v>3.6674000000000002</v>
      </c>
      <c r="U11" s="22">
        <f t="shared" ref="U11:W11" si="4">N11</f>
        <v>7.1727999999999996</v>
      </c>
      <c r="V11" s="22">
        <f t="shared" si="4"/>
        <v>8.6905999999999999</v>
      </c>
      <c r="W11" s="58">
        <f t="shared" si="4"/>
        <v>7.0267999999999997</v>
      </c>
    </row>
    <row r="12" spans="1:23" hidden="1">
      <c r="A12" s="7">
        <v>3</v>
      </c>
      <c r="B12" s="7">
        <v>12</v>
      </c>
      <c r="C12" s="7" t="s">
        <v>7</v>
      </c>
      <c r="D12" s="7">
        <v>105</v>
      </c>
      <c r="E12" s="12">
        <v>3.1250864080149999E-4</v>
      </c>
      <c r="F12" s="10">
        <v>1.9490597473919499E-2</v>
      </c>
      <c r="G12" s="10">
        <v>0.98448708216231096</v>
      </c>
      <c r="H12" s="12">
        <f t="shared" si="0"/>
        <v>2.603865734562838E-5</v>
      </c>
      <c r="I12" s="12">
        <f t="shared" si="1"/>
        <v>3.1250864080156759E-4</v>
      </c>
      <c r="K12" s="59" t="s">
        <v>13</v>
      </c>
      <c r="L12" s="30" t="s">
        <v>7</v>
      </c>
      <c r="M12" s="46">
        <v>-1.4E-3</v>
      </c>
      <c r="N12" s="46">
        <v>-6.4000000000000003E-3</v>
      </c>
      <c r="O12" s="46">
        <v>-5.3E-3</v>
      </c>
      <c r="P12" s="47">
        <v>3.3E-3</v>
      </c>
      <c r="R12" s="59" t="s">
        <v>13</v>
      </c>
      <c r="S12" s="30" t="s">
        <v>7</v>
      </c>
      <c r="T12" s="46">
        <v>-4.6943858695258633E-4</v>
      </c>
      <c r="U12" s="46">
        <v>-1.0754901088527724E-3</v>
      </c>
      <c r="V12" s="46">
        <v>-5.8507409222985363E-4</v>
      </c>
      <c r="W12" s="47">
        <v>2.7830424005936827E-4</v>
      </c>
    </row>
    <row r="13" spans="1:23" hidden="1">
      <c r="A13" s="7">
        <v>3</v>
      </c>
      <c r="B13" s="7">
        <v>12</v>
      </c>
      <c r="C13" s="7" t="s">
        <v>8</v>
      </c>
      <c r="D13" s="7">
        <v>105</v>
      </c>
      <c r="E13" s="12">
        <v>6.6481726661294302E-2</v>
      </c>
      <c r="F13" s="10">
        <v>3.7415387914354601</v>
      </c>
      <c r="G13" s="10">
        <v>2.9983269664809998E-4</v>
      </c>
      <c r="H13" s="12">
        <f t="shared" si="0"/>
        <v>5.3781711207152583E-3</v>
      </c>
      <c r="I13" s="12">
        <f t="shared" si="1"/>
        <v>6.648172666129426E-2</v>
      </c>
      <c r="K13" s="56"/>
      <c r="L13" s="31"/>
      <c r="M13" s="20">
        <v>-0.1338</v>
      </c>
      <c r="N13" s="20">
        <v>-0.52500000000000002</v>
      </c>
      <c r="O13" s="20">
        <v>-0.37209999999999999</v>
      </c>
      <c r="P13" s="45">
        <v>0.1978</v>
      </c>
      <c r="R13" s="56"/>
      <c r="S13" s="31"/>
      <c r="T13" s="20">
        <f>M13</f>
        <v>-0.1338</v>
      </c>
      <c r="U13" s="20">
        <f t="shared" ref="U13:W13" si="5">N13</f>
        <v>-0.52500000000000002</v>
      </c>
      <c r="V13" s="20">
        <f t="shared" si="5"/>
        <v>-0.37209999999999999</v>
      </c>
      <c r="W13" s="45">
        <f t="shared" si="5"/>
        <v>0.1978</v>
      </c>
    </row>
    <row r="14" spans="1:23" hidden="1">
      <c r="A14" s="2">
        <v>3</v>
      </c>
      <c r="B14" s="2">
        <v>12</v>
      </c>
      <c r="C14" s="7" t="s">
        <v>9</v>
      </c>
      <c r="D14" s="7">
        <v>105</v>
      </c>
      <c r="E14" s="12">
        <v>6.6169218020492707E-2</v>
      </c>
      <c r="F14" s="10">
        <v>7.0267777188403997</v>
      </c>
      <c r="G14" s="10">
        <v>2.2733299034642299E-10</v>
      </c>
      <c r="H14" s="12">
        <f t="shared" si="0"/>
        <v>5.3536175221247095E-3</v>
      </c>
      <c r="I14" s="12">
        <f t="shared" si="1"/>
        <v>6.6169218020492693E-2</v>
      </c>
      <c r="K14" s="56" t="s">
        <v>13</v>
      </c>
      <c r="L14" s="32" t="s">
        <v>8</v>
      </c>
      <c r="M14" s="46">
        <v>2.8400000000000002E-2</v>
      </c>
      <c r="N14" s="46">
        <v>5.3400000000000003E-2</v>
      </c>
      <c r="O14" s="46">
        <v>6.54E-2</v>
      </c>
      <c r="P14" s="47">
        <v>6.6100000000000006E-2</v>
      </c>
      <c r="R14" s="56" t="s">
        <v>13</v>
      </c>
      <c r="S14" s="32" t="s">
        <v>8</v>
      </c>
      <c r="T14" s="46">
        <v>9.3933314033969317E-3</v>
      </c>
      <c r="U14" s="46">
        <v>8.7118750915595733E-3</v>
      </c>
      <c r="V14" s="46">
        <v>7.0617409555484567E-3</v>
      </c>
      <c r="W14" s="47">
        <v>5.3505269194409344E-3</v>
      </c>
    </row>
    <row r="15" spans="1:23" hidden="1">
      <c r="A15" s="6">
        <v>6</v>
      </c>
      <c r="B15" s="6">
        <v>3</v>
      </c>
      <c r="C15" s="6" t="s">
        <v>7</v>
      </c>
      <c r="D15" s="6">
        <v>111</v>
      </c>
      <c r="E15" s="11">
        <v>-1.4076547465482999E-3</v>
      </c>
      <c r="F15" s="9">
        <v>-0.13383246420937001</v>
      </c>
      <c r="G15" s="9">
        <v>0.89377960326253703</v>
      </c>
      <c r="H15" s="11">
        <f t="shared" si="0"/>
        <v>-4.6943858695258633E-4</v>
      </c>
      <c r="I15" s="11">
        <f t="shared" si="1"/>
        <v>-5.61874118797967E-3</v>
      </c>
      <c r="K15" s="56"/>
      <c r="L15" s="31"/>
      <c r="M15" s="20">
        <v>3.3134999999999999</v>
      </c>
      <c r="N15" s="20">
        <v>4.3571</v>
      </c>
      <c r="O15" s="20">
        <v>4.2686000000000002</v>
      </c>
      <c r="P15" s="45">
        <v>3.5331999999999999</v>
      </c>
      <c r="R15" s="56"/>
      <c r="S15" s="31"/>
      <c r="T15" s="20">
        <f>M15</f>
        <v>3.3134999999999999</v>
      </c>
      <c r="U15" s="20">
        <f t="shared" ref="U15:W15" si="6">N15</f>
        <v>4.3571</v>
      </c>
      <c r="V15" s="20">
        <f t="shared" si="6"/>
        <v>4.2686000000000002</v>
      </c>
      <c r="W15" s="45">
        <f t="shared" si="6"/>
        <v>3.5331999999999999</v>
      </c>
    </row>
    <row r="16" spans="1:23">
      <c r="A16" s="6">
        <v>6</v>
      </c>
      <c r="B16" s="6">
        <v>3</v>
      </c>
      <c r="C16" s="6" t="s">
        <v>8</v>
      </c>
      <c r="D16" s="6">
        <v>111</v>
      </c>
      <c r="E16" s="11">
        <v>2.8445527052294899E-2</v>
      </c>
      <c r="F16" s="9">
        <v>3.31346699484578</v>
      </c>
      <c r="G16" s="9">
        <v>1.2479282761841E-3</v>
      </c>
      <c r="H16" s="11">
        <f t="shared" si="0"/>
        <v>9.3933314033969317E-3</v>
      </c>
      <c r="I16" s="11">
        <f t="shared" si="1"/>
        <v>0.11872971755172745</v>
      </c>
      <c r="K16" s="56" t="s">
        <v>13</v>
      </c>
      <c r="L16" s="33" t="s">
        <v>9</v>
      </c>
      <c r="M16" s="46">
        <v>2.9899999999999999E-2</v>
      </c>
      <c r="N16" s="46">
        <v>5.9900000000000002E-2</v>
      </c>
      <c r="O16" s="46">
        <v>7.0599999999999996E-2</v>
      </c>
      <c r="P16" s="47">
        <v>6.2799999999999995E-2</v>
      </c>
      <c r="R16" s="56" t="s">
        <v>13</v>
      </c>
      <c r="S16" s="33" t="s">
        <v>9</v>
      </c>
      <c r="T16" s="46">
        <v>9.8536473228396648E-3</v>
      </c>
      <c r="U16" s="46">
        <v>9.7363477341125826E-3</v>
      </c>
      <c r="V16" s="46">
        <v>7.6122900379147485E-3</v>
      </c>
      <c r="W16" s="47">
        <v>5.0873078352458023E-3</v>
      </c>
    </row>
    <row r="17" spans="1:23">
      <c r="A17" s="5">
        <v>6</v>
      </c>
      <c r="B17" s="5">
        <v>3</v>
      </c>
      <c r="C17" s="6" t="s">
        <v>9</v>
      </c>
      <c r="D17" s="6">
        <v>111</v>
      </c>
      <c r="E17" s="11">
        <v>2.98531817988433E-2</v>
      </c>
      <c r="F17" s="9">
        <v>4.4635654830199902</v>
      </c>
      <c r="G17" s="9">
        <v>1.9584885203990201E-5</v>
      </c>
      <c r="H17" s="11">
        <f t="shared" si="0"/>
        <v>9.8536473228396648E-3</v>
      </c>
      <c r="I17" s="11">
        <f t="shared" si="1"/>
        <v>0.12486721834689551</v>
      </c>
      <c r="K17" s="57"/>
      <c r="L17" s="34"/>
      <c r="M17" s="22">
        <v>4.4635999999999996</v>
      </c>
      <c r="N17" s="22">
        <v>8.1321999999999992</v>
      </c>
      <c r="O17" s="22">
        <v>8.0859000000000005</v>
      </c>
      <c r="P17" s="58">
        <v>5.5835999999999997</v>
      </c>
      <c r="R17" s="57"/>
      <c r="S17" s="34"/>
      <c r="T17" s="22">
        <f>M17</f>
        <v>4.4635999999999996</v>
      </c>
      <c r="U17" s="22">
        <f t="shared" ref="U17:W17" si="7">N17</f>
        <v>8.1321999999999992</v>
      </c>
      <c r="V17" s="22">
        <f t="shared" si="7"/>
        <v>8.0859000000000005</v>
      </c>
      <c r="W17" s="58">
        <f t="shared" si="7"/>
        <v>5.5835999999999997</v>
      </c>
    </row>
    <row r="18" spans="1:23" hidden="1">
      <c r="A18" s="7">
        <v>6</v>
      </c>
      <c r="B18" s="7">
        <v>6</v>
      </c>
      <c r="C18" s="7" t="s">
        <v>7</v>
      </c>
      <c r="D18" s="7">
        <v>108</v>
      </c>
      <c r="E18" s="12">
        <v>-6.4356153283792001E-3</v>
      </c>
      <c r="F18" s="10">
        <v>-0.52503352929487601</v>
      </c>
      <c r="G18" s="10">
        <v>0.60064608744949899</v>
      </c>
      <c r="H18" s="12">
        <f t="shared" si="0"/>
        <v>-1.0754901088527724E-3</v>
      </c>
      <c r="I18" s="12">
        <f t="shared" si="1"/>
        <v>-1.2829813512103549E-2</v>
      </c>
      <c r="K18" s="59" t="s">
        <v>14</v>
      </c>
      <c r="L18" s="30" t="s">
        <v>7</v>
      </c>
      <c r="M18" s="46">
        <v>-2.8999999999999998E-3</v>
      </c>
      <c r="N18" s="46">
        <v>-4.1000000000000003E-3</v>
      </c>
      <c r="O18" s="46">
        <v>6.9999999999999999E-4</v>
      </c>
      <c r="P18" s="47">
        <v>2.1899999999999999E-2</v>
      </c>
      <c r="R18" s="59" t="s">
        <v>14</v>
      </c>
      <c r="S18" s="30" t="s">
        <v>7</v>
      </c>
      <c r="T18" s="46">
        <v>-9.7973012235996748E-4</v>
      </c>
      <c r="U18" s="46">
        <v>-6.9166023694511303E-4</v>
      </c>
      <c r="V18" s="46">
        <v>7.3955420436755404E-5</v>
      </c>
      <c r="W18" s="47">
        <v>1.8051128719176468E-3</v>
      </c>
    </row>
    <row r="19" spans="1:23" hidden="1">
      <c r="A19" s="7">
        <v>6</v>
      </c>
      <c r="B19" s="7">
        <v>6</v>
      </c>
      <c r="C19" s="7" t="s">
        <v>8</v>
      </c>
      <c r="D19" s="7">
        <v>108</v>
      </c>
      <c r="E19" s="12">
        <v>5.3423012833033502E-2</v>
      </c>
      <c r="F19" s="10">
        <v>4.3571151294927004</v>
      </c>
      <c r="G19" s="10">
        <v>3.0347787394542301E-5</v>
      </c>
      <c r="H19" s="12">
        <f t="shared" si="0"/>
        <v>8.7118750915595733E-3</v>
      </c>
      <c r="I19" s="12">
        <f t="shared" si="1"/>
        <v>0.10970004396622546</v>
      </c>
      <c r="K19" s="56"/>
      <c r="L19" s="31"/>
      <c r="M19" s="20">
        <v>-0.27</v>
      </c>
      <c r="N19" s="20">
        <v>-0.31140000000000001</v>
      </c>
      <c r="O19" s="20">
        <v>4.4600000000000001E-2</v>
      </c>
      <c r="P19" s="45">
        <v>1.2035</v>
      </c>
      <c r="R19" s="56"/>
      <c r="S19" s="31"/>
      <c r="T19" s="20">
        <f>M19</f>
        <v>-0.27</v>
      </c>
      <c r="U19" s="20">
        <f t="shared" ref="U19:W19" si="8">N19</f>
        <v>-0.31140000000000001</v>
      </c>
      <c r="V19" s="20">
        <f t="shared" si="8"/>
        <v>4.4600000000000001E-2</v>
      </c>
      <c r="W19" s="45">
        <f t="shared" si="8"/>
        <v>1.2035</v>
      </c>
    </row>
    <row r="20" spans="1:23" hidden="1">
      <c r="A20" s="2">
        <v>6</v>
      </c>
      <c r="B20" s="2">
        <v>6</v>
      </c>
      <c r="C20" s="7" t="s">
        <v>9</v>
      </c>
      <c r="D20" s="7">
        <v>108</v>
      </c>
      <c r="E20" s="12">
        <v>5.9858628161412797E-2</v>
      </c>
      <c r="F20" s="10">
        <v>8.1322070379431892</v>
      </c>
      <c r="G20" s="10">
        <v>8.0858403211357997E-13</v>
      </c>
      <c r="H20" s="12">
        <f t="shared" si="0"/>
        <v>9.7363477341125826E-3</v>
      </c>
      <c r="I20" s="12">
        <f t="shared" si="1"/>
        <v>0.12330031168819189</v>
      </c>
      <c r="K20" s="56" t="s">
        <v>14</v>
      </c>
      <c r="L20" s="32" t="s">
        <v>8</v>
      </c>
      <c r="M20" s="46">
        <v>2.87E-2</v>
      </c>
      <c r="N20" s="46">
        <v>4.6199999999999998E-2</v>
      </c>
      <c r="O20" s="46">
        <v>5.3499999999999999E-2</v>
      </c>
      <c r="P20" s="47">
        <v>5.2900000000000003E-2</v>
      </c>
      <c r="R20" s="56" t="s">
        <v>14</v>
      </c>
      <c r="S20" s="32" t="s">
        <v>8</v>
      </c>
      <c r="T20" s="46">
        <v>9.4846127880758857E-3</v>
      </c>
      <c r="U20" s="46">
        <v>7.551120518704213E-3</v>
      </c>
      <c r="V20" s="46">
        <v>5.8035576335810912E-3</v>
      </c>
      <c r="W20" s="47">
        <v>4.3013517701586679E-3</v>
      </c>
    </row>
    <row r="21" spans="1:23" hidden="1">
      <c r="A21" s="6">
        <v>6</v>
      </c>
      <c r="B21" s="6">
        <v>9</v>
      </c>
      <c r="C21" s="6" t="s">
        <v>7</v>
      </c>
      <c r="D21" s="6">
        <v>105</v>
      </c>
      <c r="E21" s="11">
        <v>-5.2533604176780999E-3</v>
      </c>
      <c r="F21" s="9">
        <v>-0.37209988346391598</v>
      </c>
      <c r="G21" s="9">
        <v>0.71057560875417503</v>
      </c>
      <c r="H21" s="11">
        <f t="shared" si="0"/>
        <v>-5.8507409222985363E-4</v>
      </c>
      <c r="I21" s="11">
        <f t="shared" si="1"/>
        <v>-6.9983405381406349E-3</v>
      </c>
      <c r="K21" s="56"/>
      <c r="L21" s="31"/>
      <c r="M21" s="20">
        <v>3.2566999999999999</v>
      </c>
      <c r="N21" s="20">
        <v>3.8298000000000001</v>
      </c>
      <c r="O21" s="20">
        <v>3.5236000000000001</v>
      </c>
      <c r="P21" s="45">
        <v>2.8147000000000002</v>
      </c>
      <c r="R21" s="56"/>
      <c r="S21" s="31"/>
      <c r="T21" s="20">
        <f>M21</f>
        <v>3.2566999999999999</v>
      </c>
      <c r="U21" s="20">
        <f t="shared" ref="U21:W21" si="9">N21</f>
        <v>3.8298000000000001</v>
      </c>
      <c r="V21" s="20">
        <f t="shared" si="9"/>
        <v>3.5236000000000001</v>
      </c>
      <c r="W21" s="45">
        <f t="shared" si="9"/>
        <v>2.8147000000000002</v>
      </c>
    </row>
    <row r="22" spans="1:23">
      <c r="A22" s="6">
        <v>6</v>
      </c>
      <c r="B22" s="6">
        <v>9</v>
      </c>
      <c r="C22" s="6" t="s">
        <v>8</v>
      </c>
      <c r="D22" s="6">
        <v>105</v>
      </c>
      <c r="E22" s="11">
        <v>6.5380819957443395E-2</v>
      </c>
      <c r="F22" s="9">
        <v>4.2686127785260002</v>
      </c>
      <c r="G22" s="9">
        <v>4.35424460586264E-5</v>
      </c>
      <c r="H22" s="11">
        <f t="shared" si="0"/>
        <v>7.0617409555484567E-3</v>
      </c>
      <c r="I22" s="11">
        <f t="shared" si="1"/>
        <v>8.8110911071068276E-2</v>
      </c>
      <c r="K22" s="56" t="s">
        <v>14</v>
      </c>
      <c r="L22" s="33" t="s">
        <v>9</v>
      </c>
      <c r="M22" s="46">
        <v>3.1699999999999999E-2</v>
      </c>
      <c r="N22" s="46">
        <v>5.0299999999999997E-2</v>
      </c>
      <c r="O22" s="46">
        <v>5.28E-2</v>
      </c>
      <c r="P22" s="47">
        <v>3.1E-2</v>
      </c>
      <c r="R22" s="56" t="s">
        <v>14</v>
      </c>
      <c r="S22" s="33" t="s">
        <v>9</v>
      </c>
      <c r="T22" s="46">
        <v>1.044416529710035E-2</v>
      </c>
      <c r="U22" s="46">
        <v>8.2150026845630997E-3</v>
      </c>
      <c r="V22" s="46">
        <v>5.7329071450500368E-3</v>
      </c>
      <c r="W22" s="47">
        <v>2.5454996656635309E-3</v>
      </c>
    </row>
    <row r="23" spans="1:23">
      <c r="A23" s="5">
        <v>6</v>
      </c>
      <c r="B23" s="5">
        <v>9</v>
      </c>
      <c r="C23" s="6" t="s">
        <v>9</v>
      </c>
      <c r="D23" s="6">
        <v>105</v>
      </c>
      <c r="E23" s="11">
        <v>7.0634180375121494E-2</v>
      </c>
      <c r="F23" s="9">
        <v>8.0859196216081006</v>
      </c>
      <c r="G23" s="9">
        <v>1.1951262034588E-12</v>
      </c>
      <c r="H23" s="11">
        <f t="shared" si="0"/>
        <v>7.6122900379147485E-3</v>
      </c>
      <c r="I23" s="11">
        <f t="shared" si="1"/>
        <v>9.5270706344982026E-2</v>
      </c>
      <c r="K23" s="57"/>
      <c r="L23" s="34"/>
      <c r="M23" s="22">
        <v>4.5004999999999997</v>
      </c>
      <c r="N23" s="22">
        <v>6.2243000000000004</v>
      </c>
      <c r="O23" s="22">
        <v>5.3448000000000002</v>
      </c>
      <c r="P23" s="58">
        <v>2.383</v>
      </c>
      <c r="R23" s="57"/>
      <c r="S23" s="34"/>
      <c r="T23" s="22">
        <f>M23</f>
        <v>4.5004999999999997</v>
      </c>
      <c r="U23" s="22">
        <f t="shared" ref="U23:W23" si="10">N23</f>
        <v>6.2243000000000004</v>
      </c>
      <c r="V23" s="22">
        <f t="shared" si="10"/>
        <v>5.3448000000000002</v>
      </c>
      <c r="W23" s="58">
        <f t="shared" si="10"/>
        <v>2.383</v>
      </c>
    </row>
    <row r="24" spans="1:23" hidden="1">
      <c r="A24" s="7">
        <v>6</v>
      </c>
      <c r="B24" s="7">
        <v>12</v>
      </c>
      <c r="C24" s="7" t="s">
        <v>7</v>
      </c>
      <c r="D24" s="7">
        <v>102</v>
      </c>
      <c r="E24" s="12">
        <v>3.3447675404103001E-3</v>
      </c>
      <c r="F24" s="10">
        <v>0.197798860895393</v>
      </c>
      <c r="G24" s="10">
        <v>0.84359999011073195</v>
      </c>
      <c r="H24" s="12">
        <f t="shared" si="0"/>
        <v>2.7830424005936827E-4</v>
      </c>
      <c r="I24" s="12">
        <f t="shared" si="1"/>
        <v>3.3447675404103538E-3</v>
      </c>
      <c r="K24" s="59" t="s">
        <v>15</v>
      </c>
      <c r="L24" s="30" t="s">
        <v>7</v>
      </c>
      <c r="M24" s="46">
        <v>1E-3</v>
      </c>
      <c r="N24" s="46">
        <v>7.1000000000000004E-3</v>
      </c>
      <c r="O24" s="46">
        <v>2.1700000000000001E-2</v>
      </c>
      <c r="P24" s="47">
        <v>5.0299999999999997E-2</v>
      </c>
      <c r="R24" s="59" t="s">
        <v>15</v>
      </c>
      <c r="S24" s="30" t="s">
        <v>7</v>
      </c>
      <c r="T24" s="46">
        <v>3.2289572136212641E-4</v>
      </c>
      <c r="U24" s="46">
        <v>1.1773617912080869E-3</v>
      </c>
      <c r="V24" s="46">
        <v>2.3921071938923788E-3</v>
      </c>
      <c r="W24" s="47">
        <v>4.0950492623594847E-3</v>
      </c>
    </row>
    <row r="25" spans="1:23" hidden="1">
      <c r="A25" s="7">
        <v>6</v>
      </c>
      <c r="B25" s="7">
        <v>12</v>
      </c>
      <c r="C25" s="7" t="s">
        <v>8</v>
      </c>
      <c r="D25" s="7">
        <v>102</v>
      </c>
      <c r="E25" s="12">
        <v>6.6129887981665594E-2</v>
      </c>
      <c r="F25" s="10">
        <v>3.5331969002778298</v>
      </c>
      <c r="G25" s="10">
        <v>6.2076480068909998E-4</v>
      </c>
      <c r="H25" s="12">
        <f t="shared" si="0"/>
        <v>5.3505269194409344E-3</v>
      </c>
      <c r="I25" s="12">
        <f t="shared" si="1"/>
        <v>6.6129887981665636E-2</v>
      </c>
      <c r="K25" s="56"/>
      <c r="L25" s="31"/>
      <c r="M25" s="20">
        <v>8.6599999999999996E-2</v>
      </c>
      <c r="N25" s="20">
        <v>0.51700000000000002</v>
      </c>
      <c r="O25" s="20">
        <v>1.3542000000000001</v>
      </c>
      <c r="P25" s="45">
        <v>2.6859000000000002</v>
      </c>
      <c r="R25" s="56"/>
      <c r="S25" s="31"/>
      <c r="T25" s="20">
        <f>M25</f>
        <v>8.6599999999999996E-2</v>
      </c>
      <c r="U25" s="20">
        <f t="shared" ref="U25:W25" si="11">N25</f>
        <v>0.51700000000000002</v>
      </c>
      <c r="V25" s="20">
        <f t="shared" si="11"/>
        <v>1.3542000000000001</v>
      </c>
      <c r="W25" s="45">
        <f t="shared" si="11"/>
        <v>2.6859000000000002</v>
      </c>
    </row>
    <row r="26" spans="1:23" hidden="1">
      <c r="A26" s="7">
        <v>6</v>
      </c>
      <c r="B26" s="7">
        <v>12</v>
      </c>
      <c r="C26" s="7" t="s">
        <v>9</v>
      </c>
      <c r="D26" s="7">
        <v>102</v>
      </c>
      <c r="E26" s="12">
        <v>6.2785120441255296E-2</v>
      </c>
      <c r="F26" s="10">
        <v>5.5835919581785198</v>
      </c>
      <c r="G26" s="10">
        <v>1.9932779401453899E-7</v>
      </c>
      <c r="H26" s="12">
        <f t="shared" si="0"/>
        <v>5.0873078352458023E-3</v>
      </c>
      <c r="I26" s="12">
        <f t="shared" si="1"/>
        <v>6.2785120441255282E-2</v>
      </c>
      <c r="K26" s="56" t="s">
        <v>15</v>
      </c>
      <c r="L26" s="32" t="s">
        <v>8</v>
      </c>
      <c r="M26" s="46">
        <v>2.0199999999999999E-2</v>
      </c>
      <c r="N26" s="46">
        <v>3.2500000000000001E-2</v>
      </c>
      <c r="O26" s="46">
        <v>4.1000000000000002E-2</v>
      </c>
      <c r="P26" s="47">
        <v>5.4800000000000001E-2</v>
      </c>
      <c r="R26" s="56" t="s">
        <v>15</v>
      </c>
      <c r="S26" s="32" t="s">
        <v>8</v>
      </c>
      <c r="T26" s="46">
        <v>6.7027733063056427E-3</v>
      </c>
      <c r="U26" s="46">
        <v>5.3413216956781362E-3</v>
      </c>
      <c r="V26" s="46">
        <v>4.4697294593440962E-3</v>
      </c>
      <c r="W26" s="47">
        <v>4.4570719415784055E-3</v>
      </c>
    </row>
    <row r="27" spans="1:23" hidden="1">
      <c r="A27" s="6">
        <v>9</v>
      </c>
      <c r="B27" s="6">
        <v>3</v>
      </c>
      <c r="C27" s="6" t="s">
        <v>7</v>
      </c>
      <c r="D27" s="6">
        <v>108</v>
      </c>
      <c r="E27" s="11">
        <v>-2.9363116941563999E-3</v>
      </c>
      <c r="F27" s="9">
        <v>-0.27000289798885002</v>
      </c>
      <c r="G27" s="9">
        <v>0.78767808272027895</v>
      </c>
      <c r="H27" s="11">
        <f t="shared" si="0"/>
        <v>-9.7973012235996748E-4</v>
      </c>
      <c r="I27" s="11">
        <f t="shared" si="1"/>
        <v>-1.1693616410749619E-2</v>
      </c>
      <c r="K27" s="56"/>
      <c r="L27" s="31"/>
      <c r="M27" s="20">
        <v>2.1631999999999998</v>
      </c>
      <c r="N27" s="20">
        <v>2.5712999999999999</v>
      </c>
      <c r="O27" s="20">
        <v>2.5897000000000001</v>
      </c>
      <c r="P27" s="45">
        <v>2.8549000000000002</v>
      </c>
      <c r="R27" s="56"/>
      <c r="S27" s="31"/>
      <c r="T27" s="20">
        <f>M27</f>
        <v>2.1631999999999998</v>
      </c>
      <c r="U27" s="20">
        <f t="shared" ref="U27:W27" si="12">N27</f>
        <v>2.5712999999999999</v>
      </c>
      <c r="V27" s="20">
        <f t="shared" si="12"/>
        <v>2.5897000000000001</v>
      </c>
      <c r="W27" s="45">
        <f t="shared" si="12"/>
        <v>2.8549000000000002</v>
      </c>
    </row>
    <row r="28" spans="1:23">
      <c r="A28" s="6">
        <v>9</v>
      </c>
      <c r="B28" s="6">
        <v>3</v>
      </c>
      <c r="C28" s="6" t="s">
        <v>8</v>
      </c>
      <c r="D28" s="6">
        <v>108</v>
      </c>
      <c r="E28" s="11">
        <v>2.8724565219103802E-2</v>
      </c>
      <c r="F28" s="9">
        <v>3.2566806016391299</v>
      </c>
      <c r="G28" s="9">
        <v>1.5103880803215E-3</v>
      </c>
      <c r="H28" s="11">
        <f t="shared" si="0"/>
        <v>9.4846127880758857E-3</v>
      </c>
      <c r="I28" s="11">
        <f t="shared" si="1"/>
        <v>0.1199443481790432</v>
      </c>
      <c r="K28" s="56" t="s">
        <v>15</v>
      </c>
      <c r="L28" s="33" t="s">
        <v>9</v>
      </c>
      <c r="M28" s="46">
        <v>1.9300000000000001E-2</v>
      </c>
      <c r="N28" s="46">
        <v>2.5399999999999999E-2</v>
      </c>
      <c r="O28" s="46">
        <v>1.9199999999999998E-2</v>
      </c>
      <c r="P28" s="47">
        <v>4.5999999999999999E-3</v>
      </c>
      <c r="R28" s="56" t="s">
        <v>15</v>
      </c>
      <c r="S28" s="33" t="s">
        <v>9</v>
      </c>
      <c r="T28" s="46">
        <v>6.3839591999350631E-3</v>
      </c>
      <c r="U28" s="46">
        <v>4.1882245732436374E-3</v>
      </c>
      <c r="V28" s="46">
        <v>2.1173369937266262E-3</v>
      </c>
      <c r="W28" s="47">
        <v>3.7863054490094861E-4</v>
      </c>
    </row>
    <row r="29" spans="1:23">
      <c r="A29" s="5">
        <v>9</v>
      </c>
      <c r="B29" s="5">
        <v>3</v>
      </c>
      <c r="C29" s="6" t="s">
        <v>9</v>
      </c>
      <c r="D29" s="6">
        <v>108</v>
      </c>
      <c r="E29" s="11">
        <v>3.1660876913260298E-2</v>
      </c>
      <c r="F29" s="9">
        <v>4.5004545341873801</v>
      </c>
      <c r="G29" s="9">
        <v>1.73146684104927E-5</v>
      </c>
      <c r="H29" s="11">
        <f t="shared" si="0"/>
        <v>1.044416529710035E-2</v>
      </c>
      <c r="I29" s="11">
        <f t="shared" si="1"/>
        <v>0.13278592810383127</v>
      </c>
      <c r="K29" s="60"/>
      <c r="L29" s="61"/>
      <c r="M29" s="48">
        <v>2.7603</v>
      </c>
      <c r="N29" s="48">
        <v>2.9274</v>
      </c>
      <c r="O29" s="48">
        <v>1.6753</v>
      </c>
      <c r="P29" s="49">
        <v>0.29770000000000002</v>
      </c>
      <c r="R29" s="60"/>
      <c r="S29" s="61"/>
      <c r="T29" s="48">
        <f>M29</f>
        <v>2.7603</v>
      </c>
      <c r="U29" s="48">
        <f t="shared" ref="U29:W29" si="13">N29</f>
        <v>2.9274</v>
      </c>
      <c r="V29" s="48">
        <f t="shared" si="13"/>
        <v>1.6753</v>
      </c>
      <c r="W29" s="49">
        <f t="shared" si="13"/>
        <v>0.29770000000000002</v>
      </c>
    </row>
    <row r="30" spans="1:23">
      <c r="A30" s="7">
        <v>9</v>
      </c>
      <c r="B30" s="7">
        <v>6</v>
      </c>
      <c r="C30" s="7" t="s">
        <v>7</v>
      </c>
      <c r="D30" s="7">
        <v>105</v>
      </c>
      <c r="E30" s="12">
        <v>-4.1427921277086997E-3</v>
      </c>
      <c r="F30" s="10">
        <v>-0.31137808636784498</v>
      </c>
      <c r="G30" s="10">
        <v>0.756136517128007</v>
      </c>
      <c r="H30" s="12">
        <f t="shared" si="0"/>
        <v>-6.9166023694511303E-4</v>
      </c>
      <c r="I30" s="12">
        <f t="shared" si="1"/>
        <v>-8.2684215288040264E-3</v>
      </c>
    </row>
    <row r="31" spans="1:23">
      <c r="A31" s="7">
        <v>9</v>
      </c>
      <c r="B31" s="7">
        <v>6</v>
      </c>
      <c r="C31" s="7" t="s">
        <v>8</v>
      </c>
      <c r="D31" s="7">
        <v>105</v>
      </c>
      <c r="E31" s="12">
        <v>4.6170674554659598E-2</v>
      </c>
      <c r="F31" s="10">
        <v>3.82976983341762</v>
      </c>
      <c r="G31" s="10">
        <v>2.19562610715E-4</v>
      </c>
      <c r="H31" s="12">
        <f t="shared" si="0"/>
        <v>7.551120518704213E-3</v>
      </c>
      <c r="I31" s="12">
        <f t="shared" si="1"/>
        <v>9.4473080298151269E-2</v>
      </c>
    </row>
    <row r="32" spans="1:23">
      <c r="A32" s="2">
        <v>9</v>
      </c>
      <c r="B32" s="2">
        <v>6</v>
      </c>
      <c r="C32" s="7" t="s">
        <v>9</v>
      </c>
      <c r="D32" s="7">
        <v>105</v>
      </c>
      <c r="E32" s="12">
        <v>5.0313466682368302E-2</v>
      </c>
      <c r="F32" s="10">
        <v>6.22427046124601</v>
      </c>
      <c r="G32" s="10">
        <v>1.03345588054265E-8</v>
      </c>
      <c r="H32" s="12">
        <f t="shared" si="0"/>
        <v>8.2150026845630997E-3</v>
      </c>
      <c r="I32" s="12">
        <f t="shared" si="1"/>
        <v>0.10315837829433461</v>
      </c>
    </row>
    <row r="33" spans="1:9">
      <c r="A33" s="6">
        <v>9</v>
      </c>
      <c r="B33" s="6">
        <v>9</v>
      </c>
      <c r="C33" s="6" t="s">
        <v>7</v>
      </c>
      <c r="D33" s="6">
        <v>102</v>
      </c>
      <c r="E33" s="11">
        <v>6.6579571646269999E-4</v>
      </c>
      <c r="F33" s="9">
        <v>4.4601512967366301E-2</v>
      </c>
      <c r="G33" s="9">
        <v>0.96451299983973804</v>
      </c>
      <c r="H33" s="11">
        <f t="shared" si="0"/>
        <v>7.3955420436755404E-5</v>
      </c>
      <c r="I33" s="11">
        <f t="shared" si="1"/>
        <v>8.8782611492099761E-4</v>
      </c>
    </row>
    <row r="34" spans="1:9">
      <c r="A34" s="6">
        <v>9</v>
      </c>
      <c r="B34" s="6">
        <v>9</v>
      </c>
      <c r="C34" s="6" t="s">
        <v>8</v>
      </c>
      <c r="D34" s="6">
        <v>102</v>
      </c>
      <c r="E34" s="11">
        <v>5.3461108181998999E-2</v>
      </c>
      <c r="F34" s="9">
        <v>3.5236225760614399</v>
      </c>
      <c r="G34" s="9">
        <v>6.4106090559310001E-4</v>
      </c>
      <c r="H34" s="11">
        <f t="shared" si="0"/>
        <v>5.8035576335810912E-3</v>
      </c>
      <c r="I34" s="11">
        <f t="shared" si="1"/>
        <v>7.1909226631050593E-2</v>
      </c>
    </row>
    <row r="35" spans="1:9">
      <c r="A35" s="5">
        <v>9</v>
      </c>
      <c r="B35" s="5">
        <v>9</v>
      </c>
      <c r="C35" s="6" t="s">
        <v>9</v>
      </c>
      <c r="D35" s="6">
        <v>102</v>
      </c>
      <c r="E35" s="11">
        <v>5.2795312465536301E-2</v>
      </c>
      <c r="F35" s="9">
        <v>5.3448036806952803</v>
      </c>
      <c r="G35" s="9">
        <v>5.6295078096256699E-7</v>
      </c>
      <c r="H35" s="11">
        <f t="shared" si="0"/>
        <v>5.7329071450500368E-3</v>
      </c>
      <c r="I35" s="11">
        <f t="shared" si="1"/>
        <v>7.1006048360266805E-2</v>
      </c>
    </row>
    <row r="36" spans="1:9">
      <c r="A36" s="7">
        <v>9</v>
      </c>
      <c r="B36" s="7">
        <v>12</v>
      </c>
      <c r="C36" s="7" t="s">
        <v>7</v>
      </c>
      <c r="D36" s="7">
        <v>99</v>
      </c>
      <c r="E36" s="12">
        <v>2.18777102819817E-2</v>
      </c>
      <c r="F36" s="10">
        <v>1.2035157458768599</v>
      </c>
      <c r="G36" s="10">
        <v>0.23167597933307499</v>
      </c>
      <c r="H36" s="12">
        <f t="shared" si="0"/>
        <v>1.8051128719176468E-3</v>
      </c>
      <c r="I36" s="12">
        <f t="shared" si="1"/>
        <v>2.1877710281981599E-2</v>
      </c>
    </row>
    <row r="37" spans="1:9">
      <c r="A37" s="7">
        <v>9</v>
      </c>
      <c r="B37" s="7">
        <v>12</v>
      </c>
      <c r="C37" s="7" t="s">
        <v>8</v>
      </c>
      <c r="D37" s="7">
        <v>99</v>
      </c>
      <c r="E37" s="12">
        <v>5.2855007284186802E-2</v>
      </c>
      <c r="F37" s="10">
        <v>2.8146512305901399</v>
      </c>
      <c r="G37" s="10">
        <v>5.9025891099130003E-3</v>
      </c>
      <c r="H37" s="12">
        <f t="shared" si="0"/>
        <v>4.3013517701586679E-3</v>
      </c>
      <c r="I37" s="12">
        <f t="shared" si="1"/>
        <v>5.2855007284186906E-2</v>
      </c>
    </row>
    <row r="38" spans="1:9">
      <c r="A38" s="7">
        <v>9</v>
      </c>
      <c r="B38" s="7">
        <v>12</v>
      </c>
      <c r="C38" s="7" t="s">
        <v>9</v>
      </c>
      <c r="D38" s="7">
        <v>99</v>
      </c>
      <c r="E38" s="12">
        <v>3.0977297002205102E-2</v>
      </c>
      <c r="F38" s="10">
        <v>2.38303531630942</v>
      </c>
      <c r="G38" s="10">
        <v>1.9098752135223499E-2</v>
      </c>
      <c r="H38" s="12">
        <f t="shared" si="0"/>
        <v>2.5454996656635309E-3</v>
      </c>
      <c r="I38" s="12">
        <f t="shared" si="1"/>
        <v>3.0977297002205084E-2</v>
      </c>
    </row>
    <row r="39" spans="1:9">
      <c r="A39" s="6">
        <v>12</v>
      </c>
      <c r="B39" s="6">
        <v>3</v>
      </c>
      <c r="C39" s="6" t="s">
        <v>7</v>
      </c>
      <c r="D39" s="6">
        <v>105</v>
      </c>
      <c r="E39" s="11">
        <v>9.6899998269260005E-4</v>
      </c>
      <c r="F39" s="9">
        <v>8.6618518938204297E-2</v>
      </c>
      <c r="G39" s="9">
        <v>0.93114129474214802</v>
      </c>
      <c r="H39" s="11">
        <f t="shared" si="0"/>
        <v>3.2289572136212641E-4</v>
      </c>
      <c r="I39" s="11">
        <f t="shared" si="1"/>
        <v>3.8816373368633084E-3</v>
      </c>
    </row>
    <row r="40" spans="1:9">
      <c r="A40" s="6">
        <v>12</v>
      </c>
      <c r="B40" s="6">
        <v>3</v>
      </c>
      <c r="C40" s="6" t="s">
        <v>8</v>
      </c>
      <c r="D40" s="6">
        <v>105</v>
      </c>
      <c r="E40" s="11">
        <v>2.02434025655399E-2</v>
      </c>
      <c r="F40" s="9">
        <v>2.1632198381453098</v>
      </c>
      <c r="G40" s="9">
        <v>3.2814629502211499E-2</v>
      </c>
      <c r="H40" s="11">
        <f t="shared" si="0"/>
        <v>6.7027733063056427E-3</v>
      </c>
      <c r="I40" s="11">
        <f t="shared" si="1"/>
        <v>8.346573288771908E-2</v>
      </c>
    </row>
    <row r="41" spans="1:9">
      <c r="A41" s="5">
        <v>12</v>
      </c>
      <c r="B41" s="5">
        <v>3</v>
      </c>
      <c r="C41" s="6" t="s">
        <v>9</v>
      </c>
      <c r="D41" s="6">
        <v>105</v>
      </c>
      <c r="E41" s="11">
        <v>1.9274402582847301E-2</v>
      </c>
      <c r="F41" s="9">
        <v>2.7602697730369599</v>
      </c>
      <c r="G41" s="9">
        <v>6.8272415880491003E-3</v>
      </c>
      <c r="H41" s="11">
        <f t="shared" si="0"/>
        <v>6.3839591999350631E-3</v>
      </c>
      <c r="I41" s="11">
        <f t="shared" si="1"/>
        <v>7.9355405877421736E-2</v>
      </c>
    </row>
    <row r="42" spans="1:9">
      <c r="A42" s="7">
        <v>12</v>
      </c>
      <c r="B42" s="7">
        <v>6</v>
      </c>
      <c r="C42" s="7" t="s">
        <v>7</v>
      </c>
      <c r="D42" s="7">
        <v>102</v>
      </c>
      <c r="E42" s="12">
        <v>7.0849961286208003E-3</v>
      </c>
      <c r="F42" s="10">
        <v>0.51697355551415103</v>
      </c>
      <c r="G42" s="10">
        <v>0.60630487476106998</v>
      </c>
      <c r="H42" s="12">
        <f t="shared" si="0"/>
        <v>1.1773617912080869E-3</v>
      </c>
      <c r="I42" s="12">
        <f t="shared" si="1"/>
        <v>1.4220189427384122E-2</v>
      </c>
    </row>
    <row r="43" spans="1:9">
      <c r="A43" s="7">
        <v>12</v>
      </c>
      <c r="B43" s="7">
        <v>6</v>
      </c>
      <c r="C43" s="7" t="s">
        <v>8</v>
      </c>
      <c r="D43" s="7">
        <v>102</v>
      </c>
      <c r="E43" s="12">
        <v>3.2478935899176498E-2</v>
      </c>
      <c r="F43" s="10">
        <v>2.5712688955576701</v>
      </c>
      <c r="G43" s="10">
        <v>1.1589704932491099E-2</v>
      </c>
      <c r="H43" s="12">
        <f t="shared" si="0"/>
        <v>5.3413216956781362E-3</v>
      </c>
      <c r="I43" s="12">
        <f t="shared" si="1"/>
        <v>6.6012753075496144E-2</v>
      </c>
    </row>
    <row r="44" spans="1:9">
      <c r="A44" s="7">
        <v>12</v>
      </c>
      <c r="B44" s="7">
        <v>6</v>
      </c>
      <c r="C44" s="7" t="s">
        <v>9</v>
      </c>
      <c r="D44" s="7">
        <v>102</v>
      </c>
      <c r="E44" s="12">
        <v>2.5393939770555599E-2</v>
      </c>
      <c r="F44" s="10">
        <v>2.9273718404958502</v>
      </c>
      <c r="G44" s="10">
        <v>4.2239210316714999E-3</v>
      </c>
      <c r="H44" s="12">
        <f t="shared" si="0"/>
        <v>4.1882245732436374E-3</v>
      </c>
      <c r="I44" s="12">
        <f t="shared" si="1"/>
        <v>5.1432731718181746E-2</v>
      </c>
    </row>
    <row r="45" spans="1:9">
      <c r="A45" s="6">
        <v>12</v>
      </c>
      <c r="B45" s="6">
        <v>9</v>
      </c>
      <c r="C45" s="6" t="s">
        <v>7</v>
      </c>
      <c r="D45" s="6">
        <v>99</v>
      </c>
      <c r="E45" s="11">
        <v>2.1736117043418001E-2</v>
      </c>
      <c r="F45" s="9">
        <v>1.3542015136788199</v>
      </c>
      <c r="G45" s="9">
        <v>0.17878648122617199</v>
      </c>
      <c r="H45" s="11">
        <f t="shared" si="0"/>
        <v>2.3921071938923788E-3</v>
      </c>
      <c r="I45" s="11">
        <f t="shared" si="1"/>
        <v>2.908597764071863E-2</v>
      </c>
    </row>
    <row r="46" spans="1:9">
      <c r="A46" s="6">
        <v>12</v>
      </c>
      <c r="B46" s="6">
        <v>9</v>
      </c>
      <c r="C46" s="6" t="s">
        <v>8</v>
      </c>
      <c r="D46" s="6">
        <v>99</v>
      </c>
      <c r="E46" s="11">
        <v>4.0954342049184501E-2</v>
      </c>
      <c r="F46" s="9">
        <v>2.5897053427859702</v>
      </c>
      <c r="G46" s="9">
        <v>1.10688892491269E-2</v>
      </c>
      <c r="H46" s="11">
        <f t="shared" si="0"/>
        <v>4.4697294593440962E-3</v>
      </c>
      <c r="I46" s="11">
        <f t="shared" si="1"/>
        <v>5.4975177931223751E-2</v>
      </c>
    </row>
    <row r="47" spans="1:9">
      <c r="A47" s="6">
        <v>12</v>
      </c>
      <c r="B47" s="6">
        <v>9</v>
      </c>
      <c r="C47" s="6" t="s">
        <v>9</v>
      </c>
      <c r="D47" s="6">
        <v>99</v>
      </c>
      <c r="E47" s="11">
        <v>1.92182250057665E-2</v>
      </c>
      <c r="F47" s="9">
        <v>1.67525449936721</v>
      </c>
      <c r="G47" s="9">
        <v>9.7072423187367404E-2</v>
      </c>
      <c r="H47" s="11">
        <f t="shared" si="0"/>
        <v>2.1173369937266262E-3</v>
      </c>
      <c r="I47" s="11">
        <f t="shared" si="1"/>
        <v>2.5706027858341196E-2</v>
      </c>
    </row>
    <row r="48" spans="1:9">
      <c r="A48" s="7">
        <v>12</v>
      </c>
      <c r="B48" s="7">
        <v>12</v>
      </c>
      <c r="C48" s="7" t="s">
        <v>7</v>
      </c>
      <c r="D48" s="7">
        <v>96</v>
      </c>
      <c r="E48" s="12">
        <v>5.0262621303815702E-2</v>
      </c>
      <c r="F48" s="10">
        <v>2.6859082135905998</v>
      </c>
      <c r="G48" s="10">
        <v>8.5378337734927003E-3</v>
      </c>
      <c r="H48" s="12">
        <f t="shared" si="0"/>
        <v>4.0950492623594847E-3</v>
      </c>
      <c r="I48" s="12">
        <f t="shared" si="1"/>
        <v>5.0262621303815758E-2</v>
      </c>
    </row>
    <row r="49" spans="1:9">
      <c r="A49" s="7">
        <v>12</v>
      </c>
      <c r="B49" s="7">
        <v>12</v>
      </c>
      <c r="C49" s="7" t="s">
        <v>8</v>
      </c>
      <c r="D49" s="7">
        <v>96</v>
      </c>
      <c r="E49" s="12">
        <v>5.4815661626511102E-2</v>
      </c>
      <c r="F49" s="10">
        <v>2.8548901845133998</v>
      </c>
      <c r="G49" s="10">
        <v>5.2862897450562003E-3</v>
      </c>
      <c r="H49" s="12">
        <f t="shared" si="0"/>
        <v>4.4570719415784055E-3</v>
      </c>
      <c r="I49" s="12">
        <f t="shared" si="1"/>
        <v>5.4815661626511192E-2</v>
      </c>
    </row>
    <row r="50" spans="1:9">
      <c r="A50" s="7">
        <v>12</v>
      </c>
      <c r="B50" s="7">
        <v>12</v>
      </c>
      <c r="C50" s="7" t="s">
        <v>9</v>
      </c>
      <c r="D50" s="7">
        <v>96</v>
      </c>
      <c r="E50" s="12">
        <v>4.5530403226952997E-3</v>
      </c>
      <c r="F50" s="10">
        <v>0.297683339796388</v>
      </c>
      <c r="G50" s="10">
        <v>0.76659487574451302</v>
      </c>
      <c r="H50" s="12">
        <f t="shared" si="0"/>
        <v>3.7863054490094861E-4</v>
      </c>
      <c r="I50" s="12">
        <f t="shared" si="1"/>
        <v>4.5530403226952121E-3</v>
      </c>
    </row>
  </sheetData>
  <mergeCells count="35">
    <mergeCell ref="R18:R23"/>
    <mergeCell ref="S18:S19"/>
    <mergeCell ref="S20:S21"/>
    <mergeCell ref="S22:S23"/>
    <mergeCell ref="R24:R29"/>
    <mergeCell ref="S24:S25"/>
    <mergeCell ref="S26:S27"/>
    <mergeCell ref="S28:S29"/>
    <mergeCell ref="R6:R11"/>
    <mergeCell ref="S6:S7"/>
    <mergeCell ref="S8:S9"/>
    <mergeCell ref="S10:S11"/>
    <mergeCell ref="R12:R17"/>
    <mergeCell ref="S12:S13"/>
    <mergeCell ref="S14:S15"/>
    <mergeCell ref="S16:S17"/>
    <mergeCell ref="K4:P4"/>
    <mergeCell ref="R4:W4"/>
    <mergeCell ref="A1:I1"/>
    <mergeCell ref="K6:K11"/>
    <mergeCell ref="L6:L7"/>
    <mergeCell ref="L8:L9"/>
    <mergeCell ref="L10:L11"/>
    <mergeCell ref="K12:K17"/>
    <mergeCell ref="L12:L13"/>
    <mergeCell ref="L14:L15"/>
    <mergeCell ref="L16:L17"/>
    <mergeCell ref="K18:K23"/>
    <mergeCell ref="L18:L19"/>
    <mergeCell ref="L20:L21"/>
    <mergeCell ref="L22:L23"/>
    <mergeCell ref="K24:K29"/>
    <mergeCell ref="L24:L25"/>
    <mergeCell ref="L26:L27"/>
    <mergeCell ref="L28:L29"/>
  </mergeCells>
  <phoneticPr fontId="19" type="noConversion"/>
  <conditionalFormatting sqref="E2:E50">
    <cfRule type="cellIs" dxfId="78" priority="45" operator="lessThan">
      <formula>0</formula>
    </cfRule>
    <cfRule type="cellIs" dxfId="77" priority="46" operator="greaterThan">
      <formula>0</formula>
    </cfRule>
  </conditionalFormatting>
  <conditionalFormatting sqref="G2:G50">
    <cfRule type="cellIs" dxfId="76" priority="44" operator="lessThan">
      <formula>0.05</formula>
    </cfRule>
  </conditionalFormatting>
  <conditionalFormatting sqref="M10:P10 M12:P12 M14:P14 M16:P16 M18:P18 M20:P20 M22:P22 M24:P24 M26:P26 M28:P28 M6:P6 M8:P8">
    <cfRule type="expression" dxfId="75" priority="18">
      <formula>OR(M7&gt;1.96,M7&lt;-1.96)</formula>
    </cfRule>
  </conditionalFormatting>
  <conditionalFormatting sqref="M7:P7 M9:P9 M11:P11">
    <cfRule type="cellIs" dxfId="74" priority="17" operator="between">
      <formula>-1.96</formula>
      <formula>1.96</formula>
    </cfRule>
    <cfRule type="cellIs" dxfId="73" priority="19" operator="notBetween">
      <formula>1.96</formula>
      <formula>-1.96</formula>
    </cfRule>
  </conditionalFormatting>
  <conditionalFormatting sqref="M13:P13 M15:P15 M17:P17 M19:P19 M21:P21 M23:P23 M25:P25 M27:P27 M29:P29">
    <cfRule type="cellIs" dxfId="72" priority="15" operator="between">
      <formula>-1.96</formula>
      <formula>1.96</formula>
    </cfRule>
    <cfRule type="cellIs" dxfId="71" priority="16" operator="notBetween">
      <formula>1.96</formula>
      <formula>-1.96</formula>
    </cfRule>
  </conditionalFormatting>
  <conditionalFormatting sqref="H2:I50">
    <cfRule type="cellIs" dxfId="70" priority="8" operator="lessThan">
      <formula>0</formula>
    </cfRule>
    <cfRule type="cellIs" dxfId="69" priority="9" operator="greaterThan">
      <formula>0</formula>
    </cfRule>
  </conditionalFormatting>
  <conditionalFormatting sqref="T10:W10 T12:W12 T14:W14 T16:W16 T18:W18 T20:W20 T22:W22 T24:W24 T26:W26 T28:W28 T6:W6 T8:W8">
    <cfRule type="expression" dxfId="68" priority="4">
      <formula>OR(T7&gt;1.96,T7&lt;-1.96)</formula>
    </cfRule>
  </conditionalFormatting>
  <conditionalFormatting sqref="T7:W7 T9:W9 T11:W11">
    <cfRule type="cellIs" dxfId="67" priority="3" operator="between">
      <formula>-1.96</formula>
      <formula>1.96</formula>
    </cfRule>
    <cfRule type="cellIs" dxfId="66" priority="5" operator="notBetween">
      <formula>1.96</formula>
      <formula>-1.96</formula>
    </cfRule>
  </conditionalFormatting>
  <conditionalFormatting sqref="T13:W13 T15:W15 T17:W17 T19:W19 T21:W21 T23:W23 T25:W25 T27:W27 T29:W29">
    <cfRule type="cellIs" dxfId="65" priority="1" operator="between">
      <formula>-1.96</formula>
      <formula>1.96</formula>
    </cfRule>
    <cfRule type="cellIs" dxfId="64" priority="2" operator="notBetween">
      <formula>1.96</formula>
      <formula>-1.96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5E85-B3B7-4A25-A2DC-A990CC3951ED}">
  <sheetPr filterMode="1"/>
  <dimension ref="A1:W50"/>
  <sheetViews>
    <sheetView tabSelected="1" zoomScaleNormal="100" workbookViewId="0">
      <pane ySplit="2" topLeftCell="A11" activePane="bottomLeft" state="frozen"/>
      <selection pane="bottomLeft" activeCell="A2" sqref="A2:H50"/>
    </sheetView>
  </sheetViews>
  <sheetFormatPr defaultRowHeight="16.5"/>
  <cols>
    <col min="3" max="3" width="16.625" customWidth="1"/>
    <col min="4" max="4" width="10.25" customWidth="1"/>
    <col min="5" max="5" width="10.25" hidden="1" customWidth="1"/>
    <col min="6" max="7" width="10.25" customWidth="1"/>
    <col min="8" max="8" width="14.625" customWidth="1"/>
    <col min="9" max="9" width="14.625" hidden="1" customWidth="1"/>
    <col min="11" max="11" width="10.625" customWidth="1"/>
    <col min="12" max="12" width="15.625" customWidth="1"/>
    <col min="13" max="18" width="10.625" customWidth="1"/>
    <col min="19" max="19" width="15.625" customWidth="1"/>
    <col min="20" max="23" width="10.625" customWidth="1"/>
  </cols>
  <sheetData>
    <row r="1" spans="1:23">
      <c r="A1" s="29" t="s">
        <v>21</v>
      </c>
      <c r="B1" s="29"/>
      <c r="C1" s="29"/>
      <c r="D1" s="29"/>
      <c r="E1" s="29"/>
      <c r="F1" s="29"/>
      <c r="G1" s="29"/>
      <c r="H1" s="29"/>
      <c r="I1" s="29"/>
    </row>
    <row r="2" spans="1:23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23</v>
      </c>
      <c r="I2" s="4" t="s">
        <v>24</v>
      </c>
    </row>
    <row r="3" spans="1:23" hidden="1">
      <c r="A3" s="6">
        <v>3</v>
      </c>
      <c r="B3" s="6">
        <v>3</v>
      </c>
      <c r="C3" s="6" t="s">
        <v>7</v>
      </c>
      <c r="D3" s="6">
        <v>174</v>
      </c>
      <c r="E3" s="11">
        <v>8.9648117847709995E-3</v>
      </c>
      <c r="F3" s="9">
        <v>1.1263240230215701</v>
      </c>
      <c r="G3" s="9">
        <v>0.26158835276995202</v>
      </c>
      <c r="H3" s="11">
        <f>(1 + E3)^(1 / B3) - 1</f>
        <v>2.9793850439461256E-3</v>
      </c>
      <c r="I3" s="11">
        <f>(1 + E3)^(12 / B3) - 1</f>
        <v>3.634434263070041E-2</v>
      </c>
    </row>
    <row r="4" spans="1:23" hidden="1">
      <c r="A4" s="6">
        <v>3</v>
      </c>
      <c r="B4" s="6">
        <v>3</v>
      </c>
      <c r="C4" s="6" t="s">
        <v>8</v>
      </c>
      <c r="D4" s="6">
        <v>174</v>
      </c>
      <c r="E4" s="11">
        <v>3.6456284904080198E-2</v>
      </c>
      <c r="F4" s="9">
        <v>4.9316087626070901</v>
      </c>
      <c r="G4" s="9">
        <v>1.9022683024534E-6</v>
      </c>
      <c r="H4" s="11">
        <f t="shared" ref="H4:H50" si="0">(1 + E4)^(1 / B4) - 1</f>
        <v>1.2007341656524728E-2</v>
      </c>
      <c r="I4" s="11">
        <f t="shared" ref="I4:I50" si="1">(1 + E4)^(12 / B4) - 1</f>
        <v>0.15399508073618318</v>
      </c>
      <c r="K4" s="41" t="s">
        <v>21</v>
      </c>
      <c r="L4" s="41"/>
      <c r="M4" s="41"/>
      <c r="N4" s="41"/>
      <c r="O4" s="41"/>
      <c r="P4" s="41"/>
      <c r="R4" s="41" t="s">
        <v>32</v>
      </c>
      <c r="S4" s="41"/>
      <c r="T4" s="41"/>
      <c r="U4" s="41"/>
      <c r="V4" s="41"/>
      <c r="W4" s="41"/>
    </row>
    <row r="5" spans="1:23" ht="17.25" thickBot="1">
      <c r="A5" s="5">
        <v>3</v>
      </c>
      <c r="B5" s="5">
        <v>3</v>
      </c>
      <c r="C5" s="6" t="s">
        <v>9</v>
      </c>
      <c r="D5" s="6">
        <v>174</v>
      </c>
      <c r="E5" s="11">
        <v>2.74914731193092E-2</v>
      </c>
      <c r="F5" s="9">
        <v>5.48900911918963</v>
      </c>
      <c r="G5" s="9">
        <v>1.41941805723813E-7</v>
      </c>
      <c r="H5" s="11">
        <f t="shared" si="0"/>
        <v>9.0811082174948599E-3</v>
      </c>
      <c r="I5" s="11">
        <f t="shared" si="1"/>
        <v>0.11458426039046654</v>
      </c>
      <c r="K5" s="53" t="s">
        <v>16</v>
      </c>
      <c r="L5" s="26" t="s">
        <v>17</v>
      </c>
      <c r="M5" s="27" t="s">
        <v>12</v>
      </c>
      <c r="N5" s="27" t="s">
        <v>13</v>
      </c>
      <c r="O5" s="27" t="s">
        <v>14</v>
      </c>
      <c r="P5" s="54" t="s">
        <v>15</v>
      </c>
      <c r="R5" s="53" t="s">
        <v>16</v>
      </c>
      <c r="S5" s="26" t="s">
        <v>17</v>
      </c>
      <c r="T5" s="27" t="s">
        <v>12</v>
      </c>
      <c r="U5" s="27" t="s">
        <v>13</v>
      </c>
      <c r="V5" s="27" t="s">
        <v>14</v>
      </c>
      <c r="W5" s="54" t="s">
        <v>15</v>
      </c>
    </row>
    <row r="6" spans="1:23" hidden="1">
      <c r="A6" s="7">
        <v>3</v>
      </c>
      <c r="B6" s="7">
        <v>6</v>
      </c>
      <c r="C6" s="7" t="s">
        <v>7</v>
      </c>
      <c r="D6" s="7">
        <v>171</v>
      </c>
      <c r="E6" s="12">
        <v>1.9186431825705601E-2</v>
      </c>
      <c r="F6" s="10">
        <v>1.9343605558016199</v>
      </c>
      <c r="G6" s="10">
        <v>5.4729223964147297E-2</v>
      </c>
      <c r="H6" s="12">
        <f t="shared" si="0"/>
        <v>3.1724705290812061E-3</v>
      </c>
      <c r="I6" s="12">
        <f t="shared" si="1"/>
        <v>3.8740982817613512E-2</v>
      </c>
      <c r="K6" s="55" t="s">
        <v>12</v>
      </c>
      <c r="L6" s="39" t="s">
        <v>7</v>
      </c>
      <c r="M6" s="46">
        <v>8.9999999999999993E-3</v>
      </c>
      <c r="N6" s="46">
        <v>1.9199999999999998E-2</v>
      </c>
      <c r="O6" s="46">
        <v>3.1600000000000003E-2</v>
      </c>
      <c r="P6" s="47">
        <v>5.5199999999999999E-2</v>
      </c>
      <c r="R6" s="55" t="s">
        <v>12</v>
      </c>
      <c r="S6" s="39" t="s">
        <v>7</v>
      </c>
      <c r="T6" s="46">
        <v>2.9793850439461256E-3</v>
      </c>
      <c r="U6" s="46">
        <v>3.1724705290812061E-3</v>
      </c>
      <c r="V6" s="46">
        <v>3.4672028751747686E-3</v>
      </c>
      <c r="W6" s="47">
        <v>4.4886485336241844E-3</v>
      </c>
    </row>
    <row r="7" spans="1:23" hidden="1">
      <c r="A7" s="7">
        <v>3</v>
      </c>
      <c r="B7" s="7">
        <v>6</v>
      </c>
      <c r="C7" s="7" t="s">
        <v>8</v>
      </c>
      <c r="D7" s="7">
        <v>171</v>
      </c>
      <c r="E7" s="12">
        <v>7.1496430351053006E-2</v>
      </c>
      <c r="F7" s="10">
        <v>6.7041206290680799</v>
      </c>
      <c r="G7" s="10">
        <v>2.8649193162989599E-10</v>
      </c>
      <c r="H7" s="12">
        <f t="shared" si="0"/>
        <v>1.1575855013642222E-2</v>
      </c>
      <c r="I7" s="12">
        <f t="shared" si="1"/>
        <v>0.14810460025504901</v>
      </c>
      <c r="K7" s="56"/>
      <c r="L7" s="31"/>
      <c r="M7" s="20">
        <v>1.1263000000000001</v>
      </c>
      <c r="N7" s="20">
        <v>1.9343999999999999</v>
      </c>
      <c r="O7" s="20">
        <v>2.6015000000000001</v>
      </c>
      <c r="P7" s="45">
        <v>3.6215999999999999</v>
      </c>
      <c r="R7" s="56"/>
      <c r="S7" s="31"/>
      <c r="T7" s="20">
        <f>M7</f>
        <v>1.1263000000000001</v>
      </c>
      <c r="U7" s="20">
        <f t="shared" ref="U7:W7" si="2">N7</f>
        <v>1.9343999999999999</v>
      </c>
      <c r="V7" s="20">
        <f t="shared" si="2"/>
        <v>2.6015000000000001</v>
      </c>
      <c r="W7" s="45">
        <f t="shared" si="2"/>
        <v>3.6215999999999999</v>
      </c>
    </row>
    <row r="8" spans="1:23">
      <c r="A8" s="2">
        <v>3</v>
      </c>
      <c r="B8" s="2">
        <v>6</v>
      </c>
      <c r="C8" s="7" t="s">
        <v>9</v>
      </c>
      <c r="D8" s="7">
        <v>171</v>
      </c>
      <c r="E8" s="12">
        <v>5.2309998525347297E-2</v>
      </c>
      <c r="F8" s="10">
        <v>8.5639548720690595</v>
      </c>
      <c r="G8" s="10">
        <v>6.3190312413867199E-15</v>
      </c>
      <c r="H8" s="12">
        <f t="shared" si="0"/>
        <v>8.5341678593591208E-3</v>
      </c>
      <c r="I8" s="12">
        <f t="shared" si="1"/>
        <v>0.10735633299641623</v>
      </c>
      <c r="K8" s="56" t="s">
        <v>12</v>
      </c>
      <c r="L8" s="32" t="s">
        <v>8</v>
      </c>
      <c r="M8" s="46">
        <v>3.6499999999999998E-2</v>
      </c>
      <c r="N8" s="46">
        <v>7.1499999999999994E-2</v>
      </c>
      <c r="O8" s="46">
        <v>9.9900000000000003E-2</v>
      </c>
      <c r="P8" s="47">
        <v>0.1195</v>
      </c>
      <c r="R8" s="56" t="s">
        <v>12</v>
      </c>
      <c r="S8" s="32" t="s">
        <v>8</v>
      </c>
      <c r="T8" s="46">
        <v>1.2007341656524728E-2</v>
      </c>
      <c r="U8" s="46">
        <v>1.1575855013642222E-2</v>
      </c>
      <c r="V8" s="46">
        <v>1.0637911105977116E-2</v>
      </c>
      <c r="W8" s="47">
        <v>9.449050362625E-3</v>
      </c>
    </row>
    <row r="9" spans="1:23" hidden="1">
      <c r="A9" s="6">
        <v>3</v>
      </c>
      <c r="B9" s="6">
        <v>9</v>
      </c>
      <c r="C9" s="6" t="s">
        <v>7</v>
      </c>
      <c r="D9" s="6">
        <v>168</v>
      </c>
      <c r="E9" s="11">
        <v>3.1641119197947001E-2</v>
      </c>
      <c r="F9" s="9">
        <v>2.60146713298073</v>
      </c>
      <c r="G9" s="9">
        <v>1.01161296606066E-2</v>
      </c>
      <c r="H9" s="11">
        <f t="shared" si="0"/>
        <v>3.4672028751747686E-3</v>
      </c>
      <c r="I9" s="11">
        <f t="shared" si="1"/>
        <v>4.2409094969714678E-2</v>
      </c>
      <c r="K9" s="56"/>
      <c r="L9" s="31"/>
      <c r="M9" s="20">
        <v>4.9316000000000004</v>
      </c>
      <c r="N9" s="20">
        <v>6.7041000000000004</v>
      </c>
      <c r="O9" s="20">
        <v>7.7215999999999996</v>
      </c>
      <c r="P9" s="45">
        <v>7.5033000000000003</v>
      </c>
      <c r="R9" s="56"/>
      <c r="S9" s="31"/>
      <c r="T9" s="20">
        <f>M9</f>
        <v>4.9316000000000004</v>
      </c>
      <c r="U9" s="20">
        <f t="shared" ref="U9:W9" si="3">N9</f>
        <v>6.7041000000000004</v>
      </c>
      <c r="V9" s="20">
        <f t="shared" si="3"/>
        <v>7.7215999999999996</v>
      </c>
      <c r="W9" s="45">
        <f t="shared" si="3"/>
        <v>7.5033000000000003</v>
      </c>
    </row>
    <row r="10" spans="1:23" hidden="1">
      <c r="A10" s="6">
        <v>3</v>
      </c>
      <c r="B10" s="6">
        <v>9</v>
      </c>
      <c r="C10" s="6" t="s">
        <v>8</v>
      </c>
      <c r="D10" s="6">
        <v>168</v>
      </c>
      <c r="E10" s="11">
        <v>9.9917898969015498E-2</v>
      </c>
      <c r="F10" s="9">
        <v>7.7215872485542496</v>
      </c>
      <c r="G10" s="9">
        <v>1.00440591326992E-12</v>
      </c>
      <c r="H10" s="11">
        <f t="shared" si="0"/>
        <v>1.0637911105977116E-2</v>
      </c>
      <c r="I10" s="11">
        <f t="shared" si="1"/>
        <v>0.13539512672539233</v>
      </c>
      <c r="K10" s="56" t="s">
        <v>12</v>
      </c>
      <c r="L10" s="33" t="s">
        <v>9</v>
      </c>
      <c r="M10" s="46">
        <v>2.75E-2</v>
      </c>
      <c r="N10" s="46">
        <v>5.2299999999999999E-2</v>
      </c>
      <c r="O10" s="46">
        <v>6.83E-2</v>
      </c>
      <c r="P10" s="47">
        <v>6.4299999999999996E-2</v>
      </c>
      <c r="R10" s="56" t="s">
        <v>12</v>
      </c>
      <c r="S10" s="33" t="s">
        <v>9</v>
      </c>
      <c r="T10" s="46">
        <v>9.0811082174948599E-3</v>
      </c>
      <c r="U10" s="46">
        <v>8.5341678593591208E-3</v>
      </c>
      <c r="V10" s="46">
        <v>7.3655335276798795E-3</v>
      </c>
      <c r="W10" s="47">
        <v>5.2032593845656727E-3</v>
      </c>
    </row>
    <row r="11" spans="1:23">
      <c r="A11" s="5">
        <v>3</v>
      </c>
      <c r="B11" s="5">
        <v>9</v>
      </c>
      <c r="C11" s="6" t="s">
        <v>9</v>
      </c>
      <c r="D11" s="6">
        <v>168</v>
      </c>
      <c r="E11" s="11">
        <v>6.8276779771068496E-2</v>
      </c>
      <c r="F11" s="9">
        <v>8.8781796101653701</v>
      </c>
      <c r="G11" s="9">
        <v>1.0271044282789199E-15</v>
      </c>
      <c r="H11" s="11">
        <f t="shared" si="0"/>
        <v>7.3655335276798795E-3</v>
      </c>
      <c r="I11" s="11">
        <f t="shared" si="1"/>
        <v>9.2056357476995254E-2</v>
      </c>
      <c r="K11" s="57"/>
      <c r="L11" s="34"/>
      <c r="M11" s="22">
        <v>5.4889999999999999</v>
      </c>
      <c r="N11" s="22">
        <v>8.5640000000000001</v>
      </c>
      <c r="O11" s="22">
        <v>8.8781999999999996</v>
      </c>
      <c r="P11" s="58">
        <v>7.1660000000000004</v>
      </c>
      <c r="R11" s="57"/>
      <c r="S11" s="34"/>
      <c r="T11" s="22">
        <f>M11</f>
        <v>5.4889999999999999</v>
      </c>
      <c r="U11" s="22">
        <f t="shared" ref="U11:W11" si="4">N11</f>
        <v>8.5640000000000001</v>
      </c>
      <c r="V11" s="22">
        <f t="shared" si="4"/>
        <v>8.8781999999999996</v>
      </c>
      <c r="W11" s="58">
        <f t="shared" si="4"/>
        <v>7.1660000000000004</v>
      </c>
    </row>
    <row r="12" spans="1:23" hidden="1">
      <c r="A12" s="7">
        <v>3</v>
      </c>
      <c r="B12" s="7">
        <v>12</v>
      </c>
      <c r="C12" s="7" t="s">
        <v>7</v>
      </c>
      <c r="D12" s="7">
        <v>165</v>
      </c>
      <c r="E12" s="12">
        <v>5.52136466982436E-2</v>
      </c>
      <c r="F12" s="10">
        <v>3.6216418290305401</v>
      </c>
      <c r="G12" s="10">
        <v>3.8989453950000002E-4</v>
      </c>
      <c r="H12" s="12">
        <f t="shared" si="0"/>
        <v>4.4886485336241844E-3</v>
      </c>
      <c r="I12" s="12">
        <f t="shared" si="1"/>
        <v>5.5213646698243579E-2</v>
      </c>
      <c r="K12" s="59" t="s">
        <v>13</v>
      </c>
      <c r="L12" s="30" t="s">
        <v>7</v>
      </c>
      <c r="M12" s="46">
        <v>8.3999999999999995E-3</v>
      </c>
      <c r="N12" s="46">
        <v>1.7999999999999999E-2</v>
      </c>
      <c r="O12" s="46">
        <v>3.6700000000000003E-2</v>
      </c>
      <c r="P12" s="47">
        <v>6.7500000000000004E-2</v>
      </c>
      <c r="R12" s="59" t="s">
        <v>13</v>
      </c>
      <c r="S12" s="30" t="s">
        <v>7</v>
      </c>
      <c r="T12" s="46">
        <v>2.8047688911767565E-3</v>
      </c>
      <c r="U12" s="46">
        <v>2.9735866680946632E-3</v>
      </c>
      <c r="V12" s="46">
        <v>4.0144679626890056E-3</v>
      </c>
      <c r="W12" s="47">
        <v>5.4561214483788145E-3</v>
      </c>
    </row>
    <row r="13" spans="1:23" hidden="1">
      <c r="A13" s="7">
        <v>3</v>
      </c>
      <c r="B13" s="7">
        <v>12</v>
      </c>
      <c r="C13" s="7" t="s">
        <v>8</v>
      </c>
      <c r="D13" s="7">
        <v>165</v>
      </c>
      <c r="E13" s="12">
        <v>0.119470995092858</v>
      </c>
      <c r="F13" s="10">
        <v>7.50325410032573</v>
      </c>
      <c r="G13" s="10">
        <v>3.7410479353997401E-12</v>
      </c>
      <c r="H13" s="12">
        <f t="shared" si="0"/>
        <v>9.449050362625E-3</v>
      </c>
      <c r="I13" s="12">
        <f t="shared" si="1"/>
        <v>0.11947099509285808</v>
      </c>
      <c r="K13" s="56"/>
      <c r="L13" s="31"/>
      <c r="M13" s="20">
        <v>1.0175000000000001</v>
      </c>
      <c r="N13" s="20">
        <v>1.7224999999999999</v>
      </c>
      <c r="O13" s="20">
        <v>2.8769</v>
      </c>
      <c r="P13" s="45">
        <v>4.2244000000000002</v>
      </c>
      <c r="R13" s="56"/>
      <c r="S13" s="31"/>
      <c r="T13" s="20">
        <f>M13</f>
        <v>1.0175000000000001</v>
      </c>
      <c r="U13" s="20">
        <f t="shared" ref="U13:W13" si="5">N13</f>
        <v>1.7224999999999999</v>
      </c>
      <c r="V13" s="20">
        <f t="shared" si="5"/>
        <v>2.8769</v>
      </c>
      <c r="W13" s="45">
        <f t="shared" si="5"/>
        <v>4.2244000000000002</v>
      </c>
    </row>
    <row r="14" spans="1:23">
      <c r="A14" s="2">
        <v>3</v>
      </c>
      <c r="B14" s="2">
        <v>12</v>
      </c>
      <c r="C14" s="7" t="s">
        <v>9</v>
      </c>
      <c r="D14" s="7">
        <v>165</v>
      </c>
      <c r="E14" s="12">
        <v>6.4257348394614999E-2</v>
      </c>
      <c r="F14" s="10">
        <v>7.1660071590778198</v>
      </c>
      <c r="G14" s="10">
        <v>2.49001927703696E-11</v>
      </c>
      <c r="H14" s="12">
        <f t="shared" si="0"/>
        <v>5.2032593845656727E-3</v>
      </c>
      <c r="I14" s="12">
        <f t="shared" si="1"/>
        <v>6.4257348394614944E-2</v>
      </c>
      <c r="K14" s="56" t="s">
        <v>13</v>
      </c>
      <c r="L14" s="32" t="s">
        <v>8</v>
      </c>
      <c r="M14" s="46">
        <v>3.7699999999999997E-2</v>
      </c>
      <c r="N14" s="46">
        <v>7.46E-2</v>
      </c>
      <c r="O14" s="46">
        <v>9.9900000000000003E-2</v>
      </c>
      <c r="P14" s="47">
        <v>0.1163</v>
      </c>
      <c r="R14" s="56" t="s">
        <v>13</v>
      </c>
      <c r="S14" s="32" t="s">
        <v>8</v>
      </c>
      <c r="T14" s="46">
        <v>1.2414387944889249E-2</v>
      </c>
      <c r="U14" s="46">
        <v>1.2064246397408329E-2</v>
      </c>
      <c r="V14" s="46">
        <v>1.0639944967364867E-2</v>
      </c>
      <c r="W14" s="47">
        <v>9.2107034871309335E-3</v>
      </c>
    </row>
    <row r="15" spans="1:23" hidden="1">
      <c r="A15" s="6">
        <v>6</v>
      </c>
      <c r="B15" s="6">
        <v>3</v>
      </c>
      <c r="C15" s="6" t="s">
        <v>7</v>
      </c>
      <c r="D15" s="6">
        <v>171</v>
      </c>
      <c r="E15" s="11">
        <v>8.4379289234846992E-3</v>
      </c>
      <c r="F15" s="9">
        <v>1.0175339258929901</v>
      </c>
      <c r="G15" s="9">
        <v>0.31034543633054101</v>
      </c>
      <c r="H15" s="11">
        <f t="shared" si="0"/>
        <v>2.8047688911767565E-3</v>
      </c>
      <c r="I15" s="11">
        <f t="shared" si="1"/>
        <v>3.4181315706699911E-2</v>
      </c>
      <c r="K15" s="56"/>
      <c r="L15" s="31"/>
      <c r="M15" s="20">
        <v>4.8078000000000003</v>
      </c>
      <c r="N15" s="20">
        <v>6.798</v>
      </c>
      <c r="O15" s="20">
        <v>7.3400999999999996</v>
      </c>
      <c r="P15" s="45">
        <v>6.8672000000000004</v>
      </c>
      <c r="R15" s="56"/>
      <c r="S15" s="31"/>
      <c r="T15" s="20">
        <f>M15</f>
        <v>4.8078000000000003</v>
      </c>
      <c r="U15" s="20">
        <f t="shared" ref="U15:W15" si="6">N15</f>
        <v>6.798</v>
      </c>
      <c r="V15" s="20">
        <f t="shared" si="6"/>
        <v>7.3400999999999996</v>
      </c>
      <c r="W15" s="45">
        <f t="shared" si="6"/>
        <v>6.8672000000000004</v>
      </c>
    </row>
    <row r="16" spans="1:23" hidden="1">
      <c r="A16" s="6">
        <v>6</v>
      </c>
      <c r="B16" s="6">
        <v>3</v>
      </c>
      <c r="C16" s="6" t="s">
        <v>8</v>
      </c>
      <c r="D16" s="6">
        <v>171</v>
      </c>
      <c r="E16" s="11">
        <v>3.7707428187381202E-2</v>
      </c>
      <c r="F16" s="9">
        <v>4.8078185870918597</v>
      </c>
      <c r="G16" s="9">
        <v>3.3410615393527401E-6</v>
      </c>
      <c r="H16" s="11">
        <f t="shared" si="0"/>
        <v>1.2414387944889249E-2</v>
      </c>
      <c r="I16" s="11">
        <f t="shared" si="1"/>
        <v>0.15957729249865182</v>
      </c>
      <c r="K16" s="56" t="s">
        <v>13</v>
      </c>
      <c r="L16" s="33" t="s">
        <v>9</v>
      </c>
      <c r="M16" s="46">
        <v>2.93E-2</v>
      </c>
      <c r="N16" s="46">
        <v>5.6599999999999998E-2</v>
      </c>
      <c r="O16" s="46">
        <v>6.3200000000000006E-2</v>
      </c>
      <c r="P16" s="47">
        <v>4.8800000000000003E-2</v>
      </c>
      <c r="R16" s="56" t="s">
        <v>13</v>
      </c>
      <c r="S16" s="33" t="s">
        <v>9</v>
      </c>
      <c r="T16" s="46">
        <v>9.6628287548110592E-3</v>
      </c>
      <c r="U16" s="46">
        <v>9.222947518546798E-3</v>
      </c>
      <c r="V16" s="46">
        <v>6.8347946497242518E-3</v>
      </c>
      <c r="W16" s="47">
        <v>3.9807456617366732E-3</v>
      </c>
    </row>
    <row r="17" spans="1:23">
      <c r="A17" s="5">
        <v>6</v>
      </c>
      <c r="B17" s="5">
        <v>3</v>
      </c>
      <c r="C17" s="6" t="s">
        <v>9</v>
      </c>
      <c r="D17" s="6">
        <v>171</v>
      </c>
      <c r="E17" s="11">
        <v>2.9269499263896399E-2</v>
      </c>
      <c r="F17" s="9">
        <v>5.3340507392331702</v>
      </c>
      <c r="G17" s="9">
        <v>3.0290173452399399E-7</v>
      </c>
      <c r="H17" s="11">
        <f t="shared" si="0"/>
        <v>9.6628287548110592E-3</v>
      </c>
      <c r="I17" s="11">
        <f t="shared" si="1"/>
        <v>0.12231925365963225</v>
      </c>
      <c r="K17" s="57"/>
      <c r="L17" s="34"/>
      <c r="M17" s="22">
        <v>5.3341000000000003</v>
      </c>
      <c r="N17" s="22">
        <v>8.4658999999999995</v>
      </c>
      <c r="O17" s="22">
        <v>8.2096999999999998</v>
      </c>
      <c r="P17" s="58">
        <v>5.2915000000000001</v>
      </c>
      <c r="R17" s="57"/>
      <c r="S17" s="34"/>
      <c r="T17" s="22">
        <f>M17</f>
        <v>5.3341000000000003</v>
      </c>
      <c r="U17" s="22">
        <f t="shared" ref="U17:W17" si="7">N17</f>
        <v>8.4658999999999995</v>
      </c>
      <c r="V17" s="22">
        <f t="shared" si="7"/>
        <v>8.2096999999999998</v>
      </c>
      <c r="W17" s="58">
        <f t="shared" si="7"/>
        <v>5.2915000000000001</v>
      </c>
    </row>
    <row r="18" spans="1:23" hidden="1">
      <c r="A18" s="7">
        <v>6</v>
      </c>
      <c r="B18" s="7">
        <v>6</v>
      </c>
      <c r="C18" s="7" t="s">
        <v>7</v>
      </c>
      <c r="D18" s="7">
        <v>168</v>
      </c>
      <c r="E18" s="12">
        <v>1.7974680309837399E-2</v>
      </c>
      <c r="F18" s="10">
        <v>1.72249056256499</v>
      </c>
      <c r="G18" s="10">
        <v>8.6831963263847997E-2</v>
      </c>
      <c r="H18" s="12">
        <f t="shared" si="0"/>
        <v>2.9735866680946632E-3</v>
      </c>
      <c r="I18" s="12">
        <f t="shared" si="1"/>
        <v>3.6272449751915792E-2</v>
      </c>
      <c r="K18" s="59" t="s">
        <v>14</v>
      </c>
      <c r="L18" s="30" t="s">
        <v>7</v>
      </c>
      <c r="M18" s="46">
        <v>7.7000000000000002E-3</v>
      </c>
      <c r="N18" s="46">
        <v>2.35E-2</v>
      </c>
      <c r="O18" s="46">
        <v>4.8099999999999997E-2</v>
      </c>
      <c r="P18" s="47">
        <v>8.6699999999999999E-2</v>
      </c>
      <c r="R18" s="59" t="s">
        <v>14</v>
      </c>
      <c r="S18" s="30" t="s">
        <v>7</v>
      </c>
      <c r="T18" s="46">
        <v>2.554114734574231E-3</v>
      </c>
      <c r="U18" s="46">
        <v>3.8821400345152579E-3</v>
      </c>
      <c r="V18" s="46">
        <v>5.2285194668884039E-3</v>
      </c>
      <c r="W18" s="47">
        <v>6.9550329708059078E-3</v>
      </c>
    </row>
    <row r="19" spans="1:23" hidden="1">
      <c r="A19" s="7">
        <v>6</v>
      </c>
      <c r="B19" s="7">
        <v>6</v>
      </c>
      <c r="C19" s="7" t="s">
        <v>8</v>
      </c>
      <c r="D19" s="7">
        <v>168</v>
      </c>
      <c r="E19" s="12">
        <v>7.4604106358782701E-2</v>
      </c>
      <c r="F19" s="10">
        <v>6.7979544867414301</v>
      </c>
      <c r="G19" s="10">
        <v>1.79531156198242E-10</v>
      </c>
      <c r="H19" s="12">
        <f t="shared" si="0"/>
        <v>1.2064246397408329E-2</v>
      </c>
      <c r="I19" s="12">
        <f t="shared" si="1"/>
        <v>0.15477398540315823</v>
      </c>
      <c r="K19" s="56"/>
      <c r="L19" s="31"/>
      <c r="M19" s="20">
        <v>0.90290000000000004</v>
      </c>
      <c r="N19" s="20">
        <v>2.1019999999999999</v>
      </c>
      <c r="O19" s="20">
        <v>3.5855000000000001</v>
      </c>
      <c r="P19" s="45">
        <v>5.2321</v>
      </c>
      <c r="R19" s="56"/>
      <c r="S19" s="31"/>
      <c r="T19" s="20">
        <f>M19</f>
        <v>0.90290000000000004</v>
      </c>
      <c r="U19" s="20">
        <f t="shared" ref="U19:W19" si="8">N19</f>
        <v>2.1019999999999999</v>
      </c>
      <c r="V19" s="20">
        <f t="shared" si="8"/>
        <v>3.5855000000000001</v>
      </c>
      <c r="W19" s="45">
        <f t="shared" si="8"/>
        <v>5.2321</v>
      </c>
    </row>
    <row r="20" spans="1:23">
      <c r="A20" s="2">
        <v>6</v>
      </c>
      <c r="B20" s="2">
        <v>6</v>
      </c>
      <c r="C20" s="7" t="s">
        <v>9</v>
      </c>
      <c r="D20" s="7">
        <v>168</v>
      </c>
      <c r="E20" s="12">
        <v>5.6629426048945199E-2</v>
      </c>
      <c r="F20" s="10">
        <v>8.4659287981587195</v>
      </c>
      <c r="G20" s="10">
        <v>1.24672618725531E-14</v>
      </c>
      <c r="H20" s="12">
        <f t="shared" si="0"/>
        <v>9.222947518546798E-3</v>
      </c>
      <c r="I20" s="12">
        <f t="shared" si="1"/>
        <v>0.11646574399252341</v>
      </c>
      <c r="K20" s="56" t="s">
        <v>14</v>
      </c>
      <c r="L20" s="32" t="s">
        <v>8</v>
      </c>
      <c r="M20" s="46">
        <v>3.78E-2</v>
      </c>
      <c r="N20" s="46">
        <v>6.7900000000000002E-2</v>
      </c>
      <c r="O20" s="46">
        <v>8.7900000000000006E-2</v>
      </c>
      <c r="P20" s="47">
        <v>0.1011</v>
      </c>
      <c r="R20" s="56" t="s">
        <v>14</v>
      </c>
      <c r="S20" s="32" t="s">
        <v>8</v>
      </c>
      <c r="T20" s="46">
        <v>1.2436261643473223E-2</v>
      </c>
      <c r="U20" s="46">
        <v>1.1015998765780077E-2</v>
      </c>
      <c r="V20" s="46">
        <v>9.4000774835438783E-3</v>
      </c>
      <c r="W20" s="47">
        <v>8.0555952391887509E-3</v>
      </c>
    </row>
    <row r="21" spans="1:23" hidden="1">
      <c r="A21" s="6">
        <v>6</v>
      </c>
      <c r="B21" s="6">
        <v>9</v>
      </c>
      <c r="C21" s="6" t="s">
        <v>7</v>
      </c>
      <c r="D21" s="6">
        <v>165</v>
      </c>
      <c r="E21" s="11">
        <v>3.6715853376064901E-2</v>
      </c>
      <c r="F21" s="9">
        <v>2.8769140359557701</v>
      </c>
      <c r="G21" s="9">
        <v>4.5501723022774998E-3</v>
      </c>
      <c r="H21" s="11">
        <f t="shared" si="0"/>
        <v>4.0144679626890056E-3</v>
      </c>
      <c r="I21" s="11">
        <f t="shared" si="1"/>
        <v>4.9251631179791699E-2</v>
      </c>
      <c r="K21" s="56"/>
      <c r="L21" s="31"/>
      <c r="M21" s="20">
        <v>4.7869000000000002</v>
      </c>
      <c r="N21" s="20">
        <v>6.3014999999999999</v>
      </c>
      <c r="O21" s="20">
        <v>6.4996</v>
      </c>
      <c r="P21" s="45">
        <v>6.0029000000000003</v>
      </c>
      <c r="R21" s="56"/>
      <c r="S21" s="31"/>
      <c r="T21" s="20">
        <f>M21</f>
        <v>4.7869000000000002</v>
      </c>
      <c r="U21" s="20">
        <f t="shared" ref="U21:W21" si="9">N21</f>
        <v>6.3014999999999999</v>
      </c>
      <c r="V21" s="20">
        <f t="shared" si="9"/>
        <v>6.4996</v>
      </c>
      <c r="W21" s="45">
        <f t="shared" si="9"/>
        <v>6.0029000000000003</v>
      </c>
    </row>
    <row r="22" spans="1:23" hidden="1">
      <c r="A22" s="6">
        <v>6</v>
      </c>
      <c r="B22" s="6">
        <v>9</v>
      </c>
      <c r="C22" s="6" t="s">
        <v>8</v>
      </c>
      <c r="D22" s="6">
        <v>165</v>
      </c>
      <c r="E22" s="11">
        <v>9.99378209279599E-2</v>
      </c>
      <c r="F22" s="9">
        <v>7.3401111054743398</v>
      </c>
      <c r="G22" s="9">
        <v>9.4070050806123594E-12</v>
      </c>
      <c r="H22" s="11">
        <f t="shared" si="0"/>
        <v>1.0639944967364867E-2</v>
      </c>
      <c r="I22" s="11">
        <f t="shared" si="1"/>
        <v>0.13542254618206528</v>
      </c>
      <c r="K22" s="56" t="s">
        <v>14</v>
      </c>
      <c r="L22" s="33" t="s">
        <v>9</v>
      </c>
      <c r="M22" s="46">
        <v>3.0099999999999998E-2</v>
      </c>
      <c r="N22" s="46">
        <v>4.4400000000000002E-2</v>
      </c>
      <c r="O22" s="46">
        <v>3.9800000000000002E-2</v>
      </c>
      <c r="P22" s="47">
        <v>1.43E-2</v>
      </c>
      <c r="R22" s="56" t="s">
        <v>14</v>
      </c>
      <c r="S22" s="33" t="s">
        <v>9</v>
      </c>
      <c r="T22" s="46">
        <v>9.931949396515094E-3</v>
      </c>
      <c r="U22" s="46">
        <v>7.2704235350067314E-3</v>
      </c>
      <c r="V22" s="46">
        <v>4.345855351324257E-3</v>
      </c>
      <c r="W22" s="47">
        <v>1.1871353020906916E-3</v>
      </c>
    </row>
    <row r="23" spans="1:23">
      <c r="A23" s="5">
        <v>6</v>
      </c>
      <c r="B23" s="5">
        <v>9</v>
      </c>
      <c r="C23" s="6" t="s">
        <v>9</v>
      </c>
      <c r="D23" s="6">
        <v>165</v>
      </c>
      <c r="E23" s="11">
        <v>6.3221967551894895E-2</v>
      </c>
      <c r="F23" s="9">
        <v>8.20970817977582</v>
      </c>
      <c r="G23" s="9">
        <v>6.2382898628240195E-14</v>
      </c>
      <c r="H23" s="11">
        <f t="shared" si="0"/>
        <v>6.8347946497242518E-3</v>
      </c>
      <c r="I23" s="11">
        <f t="shared" si="1"/>
        <v>8.5172021852905733E-2</v>
      </c>
      <c r="K23" s="57"/>
      <c r="L23" s="34"/>
      <c r="M23" s="22">
        <v>5.3463000000000003</v>
      </c>
      <c r="N23" s="22">
        <v>6.4966999999999997</v>
      </c>
      <c r="O23" s="22">
        <v>4.9546000000000001</v>
      </c>
      <c r="P23" s="58">
        <v>1.4471000000000001</v>
      </c>
      <c r="R23" s="57"/>
      <c r="S23" s="34"/>
      <c r="T23" s="22">
        <f>M23</f>
        <v>5.3463000000000003</v>
      </c>
      <c r="U23" s="22">
        <f t="shared" ref="U23:W23" si="10">N23</f>
        <v>6.4966999999999997</v>
      </c>
      <c r="V23" s="22">
        <f t="shared" si="10"/>
        <v>4.9546000000000001</v>
      </c>
      <c r="W23" s="58">
        <f t="shared" si="10"/>
        <v>1.4471000000000001</v>
      </c>
    </row>
    <row r="24" spans="1:23" hidden="1">
      <c r="A24" s="7">
        <v>6</v>
      </c>
      <c r="B24" s="7">
        <v>12</v>
      </c>
      <c r="C24" s="7" t="s">
        <v>7</v>
      </c>
      <c r="D24" s="7">
        <v>162</v>
      </c>
      <c r="E24" s="12">
        <v>6.7474404586172002E-2</v>
      </c>
      <c r="F24" s="10">
        <v>4.2244372672928696</v>
      </c>
      <c r="G24" s="10">
        <v>3.9980728266520101E-5</v>
      </c>
      <c r="H24" s="12">
        <f t="shared" si="0"/>
        <v>5.4561214483788145E-3</v>
      </c>
      <c r="I24" s="12">
        <f t="shared" si="1"/>
        <v>6.7474404586171932E-2</v>
      </c>
      <c r="K24" s="59" t="s">
        <v>15</v>
      </c>
      <c r="L24" s="30" t="s">
        <v>7</v>
      </c>
      <c r="M24" s="46">
        <v>1.3100000000000001E-2</v>
      </c>
      <c r="N24" s="46">
        <v>3.8399999999999997E-2</v>
      </c>
      <c r="O24" s="46">
        <v>7.0300000000000001E-2</v>
      </c>
      <c r="P24" s="47">
        <v>0.11550000000000001</v>
      </c>
      <c r="R24" s="59" t="s">
        <v>15</v>
      </c>
      <c r="S24" s="30" t="s">
        <v>7</v>
      </c>
      <c r="T24" s="46">
        <v>4.3575855029771571E-3</v>
      </c>
      <c r="U24" s="46">
        <v>6.2946422455119055E-3</v>
      </c>
      <c r="V24" s="46">
        <v>7.5757418684838651E-3</v>
      </c>
      <c r="W24" s="47">
        <v>9.1485525904555498E-3</v>
      </c>
    </row>
    <row r="25" spans="1:23" hidden="1">
      <c r="A25" s="7">
        <v>6</v>
      </c>
      <c r="B25" s="7">
        <v>12</v>
      </c>
      <c r="C25" s="7" t="s">
        <v>8</v>
      </c>
      <c r="D25" s="7">
        <v>162</v>
      </c>
      <c r="E25" s="12">
        <v>0.116303213448917</v>
      </c>
      <c r="F25" s="10">
        <v>6.8672249591161902</v>
      </c>
      <c r="G25" s="10">
        <v>1.3499191212500499E-10</v>
      </c>
      <c r="H25" s="12">
        <f t="shared" si="0"/>
        <v>9.2107034871309335E-3</v>
      </c>
      <c r="I25" s="12">
        <f t="shared" si="1"/>
        <v>0.11630321344891703</v>
      </c>
      <c r="K25" s="56"/>
      <c r="L25" s="31"/>
      <c r="M25" s="20">
        <v>1.5165</v>
      </c>
      <c r="N25" s="20">
        <v>3.4033000000000002</v>
      </c>
      <c r="O25" s="20">
        <v>5.08</v>
      </c>
      <c r="P25" s="45">
        <v>6.9120999999999997</v>
      </c>
      <c r="R25" s="56"/>
      <c r="S25" s="31"/>
      <c r="T25" s="20">
        <f>M25</f>
        <v>1.5165</v>
      </c>
      <c r="U25" s="20">
        <f t="shared" ref="U25:W25" si="11">N25</f>
        <v>3.4033000000000002</v>
      </c>
      <c r="V25" s="20">
        <f t="shared" si="11"/>
        <v>5.08</v>
      </c>
      <c r="W25" s="45">
        <f t="shared" si="11"/>
        <v>6.9120999999999997</v>
      </c>
    </row>
    <row r="26" spans="1:23">
      <c r="A26" s="7">
        <v>6</v>
      </c>
      <c r="B26" s="7">
        <v>12</v>
      </c>
      <c r="C26" s="7" t="s">
        <v>9</v>
      </c>
      <c r="D26" s="7">
        <v>162</v>
      </c>
      <c r="E26" s="12">
        <v>4.8828808862745099E-2</v>
      </c>
      <c r="F26" s="10">
        <v>5.2914575455384201</v>
      </c>
      <c r="G26" s="10">
        <v>3.91499784412417E-7</v>
      </c>
      <c r="H26" s="12">
        <f t="shared" si="0"/>
        <v>3.9807456617366732E-3</v>
      </c>
      <c r="I26" s="12">
        <f t="shared" si="1"/>
        <v>4.8828808862745099E-2</v>
      </c>
      <c r="K26" s="56" t="s">
        <v>15</v>
      </c>
      <c r="L26" s="32" t="s">
        <v>8</v>
      </c>
      <c r="M26" s="46">
        <v>2.9899999999999999E-2</v>
      </c>
      <c r="N26" s="46">
        <v>5.6500000000000002E-2</v>
      </c>
      <c r="O26" s="46">
        <v>7.4700000000000003E-2</v>
      </c>
      <c r="P26" s="47">
        <v>9.4700000000000006E-2</v>
      </c>
      <c r="R26" s="56" t="s">
        <v>15</v>
      </c>
      <c r="S26" s="32" t="s">
        <v>8</v>
      </c>
      <c r="T26" s="46">
        <v>9.855158306096401E-3</v>
      </c>
      <c r="U26" s="46">
        <v>9.1948121635061497E-3</v>
      </c>
      <c r="V26" s="46">
        <v>8.0397107025320658E-3</v>
      </c>
      <c r="W26" s="47">
        <v>7.5666142380717005E-3</v>
      </c>
    </row>
    <row r="27" spans="1:23" hidden="1">
      <c r="A27" s="6">
        <v>9</v>
      </c>
      <c r="B27" s="6">
        <v>3</v>
      </c>
      <c r="C27" s="6" t="s">
        <v>7</v>
      </c>
      <c r="D27" s="6">
        <v>168</v>
      </c>
      <c r="E27" s="11">
        <v>7.6819313717274998E-3</v>
      </c>
      <c r="F27" s="9">
        <v>0.90288867290754504</v>
      </c>
      <c r="G27" s="9">
        <v>0.36788545072482898</v>
      </c>
      <c r="H27" s="11">
        <f t="shared" si="0"/>
        <v>2.554114734574231E-3</v>
      </c>
      <c r="I27" s="11">
        <f t="shared" si="1"/>
        <v>3.108361469360954E-2</v>
      </c>
      <c r="K27" s="56"/>
      <c r="L27" s="31"/>
      <c r="M27" s="20">
        <v>3.657</v>
      </c>
      <c r="N27" s="20">
        <v>4.9596</v>
      </c>
      <c r="O27" s="20">
        <v>5.3826000000000001</v>
      </c>
      <c r="P27" s="45">
        <v>5.6285999999999996</v>
      </c>
      <c r="R27" s="56"/>
      <c r="S27" s="31"/>
      <c r="T27" s="20">
        <f>M27</f>
        <v>3.657</v>
      </c>
      <c r="U27" s="20">
        <f t="shared" ref="U27:W27" si="12">N27</f>
        <v>4.9596</v>
      </c>
      <c r="V27" s="20">
        <f t="shared" si="12"/>
        <v>5.3826000000000001</v>
      </c>
      <c r="W27" s="45">
        <f t="shared" si="12"/>
        <v>5.6285999999999996</v>
      </c>
    </row>
    <row r="28" spans="1:23" hidden="1">
      <c r="A28" s="6">
        <v>9</v>
      </c>
      <c r="B28" s="6">
        <v>3</v>
      </c>
      <c r="C28" s="6" t="s">
        <v>8</v>
      </c>
      <c r="D28" s="6">
        <v>168</v>
      </c>
      <c r="E28" s="11">
        <v>3.77746901411476E-2</v>
      </c>
      <c r="F28" s="9">
        <v>4.7869229223350702</v>
      </c>
      <c r="G28" s="9">
        <v>3.7092939892542398E-6</v>
      </c>
      <c r="H28" s="11">
        <f t="shared" si="0"/>
        <v>1.2436261643473223E-2</v>
      </c>
      <c r="I28" s="11">
        <f t="shared" si="1"/>
        <v>0.15987796691106748</v>
      </c>
      <c r="K28" s="56" t="s">
        <v>15</v>
      </c>
      <c r="L28" s="33" t="s">
        <v>9</v>
      </c>
      <c r="M28" s="46">
        <v>1.67E-2</v>
      </c>
      <c r="N28" s="46">
        <v>1.8100000000000002E-2</v>
      </c>
      <c r="O28" s="46">
        <v>4.4000000000000003E-3</v>
      </c>
      <c r="P28" s="47">
        <v>-2.0799999999999999E-2</v>
      </c>
      <c r="R28" s="56" t="s">
        <v>15</v>
      </c>
      <c r="S28" s="33" t="s">
        <v>9</v>
      </c>
      <c r="T28" s="46">
        <v>5.5451938617947505E-3</v>
      </c>
      <c r="U28" s="46">
        <v>2.9917825456908798E-3</v>
      </c>
      <c r="V28" s="46">
        <v>4.9278139466091275E-4</v>
      </c>
      <c r="W28" s="47">
        <v>-1.7503762637918197E-3</v>
      </c>
    </row>
    <row r="29" spans="1:23">
      <c r="A29" s="5">
        <v>9</v>
      </c>
      <c r="B29" s="5">
        <v>3</v>
      </c>
      <c r="C29" s="6" t="s">
        <v>9</v>
      </c>
      <c r="D29" s="6">
        <v>168</v>
      </c>
      <c r="E29" s="11">
        <v>3.0092758769420101E-2</v>
      </c>
      <c r="F29" s="9">
        <v>5.3463199721099102</v>
      </c>
      <c r="G29" s="9">
        <v>2.9126413847426302E-7</v>
      </c>
      <c r="H29" s="11">
        <f t="shared" si="0"/>
        <v>9.931949396515094E-3</v>
      </c>
      <c r="I29" s="11">
        <f t="shared" si="1"/>
        <v>0.12591430481972377</v>
      </c>
      <c r="K29" s="60"/>
      <c r="L29" s="61"/>
      <c r="M29" s="48">
        <v>2.9943</v>
      </c>
      <c r="N29" s="48">
        <v>2.4462000000000002</v>
      </c>
      <c r="O29" s="48">
        <v>0.49399999999999999</v>
      </c>
      <c r="P29" s="49">
        <v>-1.8145</v>
      </c>
      <c r="R29" s="60"/>
      <c r="S29" s="61"/>
      <c r="T29" s="48">
        <f>M29</f>
        <v>2.9943</v>
      </c>
      <c r="U29" s="48">
        <f t="shared" ref="U29:W29" si="13">N29</f>
        <v>2.4462000000000002</v>
      </c>
      <c r="V29" s="48">
        <f t="shared" si="13"/>
        <v>0.49399999999999999</v>
      </c>
      <c r="W29" s="49">
        <f t="shared" si="13"/>
        <v>-1.8145</v>
      </c>
    </row>
    <row r="30" spans="1:23" hidden="1">
      <c r="A30" s="7">
        <v>9</v>
      </c>
      <c r="B30" s="7">
        <v>6</v>
      </c>
      <c r="C30" s="7" t="s">
        <v>7</v>
      </c>
      <c r="D30" s="7">
        <v>165</v>
      </c>
      <c r="E30" s="12">
        <v>2.3520078943652899E-2</v>
      </c>
      <c r="F30" s="10">
        <v>2.1019991996714</v>
      </c>
      <c r="G30" s="10">
        <v>3.7081019747001398E-2</v>
      </c>
      <c r="H30" s="12">
        <f t="shared" si="0"/>
        <v>3.8821400345152579E-3</v>
      </c>
      <c r="I30" s="12">
        <f t="shared" si="1"/>
        <v>4.7593352000821598E-2</v>
      </c>
    </row>
    <row r="31" spans="1:23" hidden="1">
      <c r="A31" s="7">
        <v>9</v>
      </c>
      <c r="B31" s="7">
        <v>6</v>
      </c>
      <c r="C31" s="7" t="s">
        <v>8</v>
      </c>
      <c r="D31" s="7">
        <v>165</v>
      </c>
      <c r="E31" s="12">
        <v>6.7943234217443693E-2</v>
      </c>
      <c r="F31" s="10">
        <v>6.3015446938173802</v>
      </c>
      <c r="G31" s="10">
        <v>2.6120440978726301E-9</v>
      </c>
      <c r="H31" s="12">
        <f t="shared" si="0"/>
        <v>1.1015998765780077E-2</v>
      </c>
      <c r="I31" s="12">
        <f t="shared" si="1"/>
        <v>0.14050275151081393</v>
      </c>
    </row>
    <row r="32" spans="1:23">
      <c r="A32" s="2">
        <v>9</v>
      </c>
      <c r="B32" s="2">
        <v>6</v>
      </c>
      <c r="C32" s="7" t="s">
        <v>9</v>
      </c>
      <c r="D32" s="7">
        <v>165</v>
      </c>
      <c r="E32" s="12">
        <v>4.4423155273790697E-2</v>
      </c>
      <c r="F32" s="10">
        <v>6.4966843088742898</v>
      </c>
      <c r="G32" s="10">
        <v>9.3974935605754701E-10</v>
      </c>
      <c r="H32" s="12">
        <f t="shared" si="0"/>
        <v>7.2704235350067314E-3</v>
      </c>
      <c r="I32" s="12">
        <f t="shared" si="1"/>
        <v>9.0819727272060558E-2</v>
      </c>
    </row>
    <row r="33" spans="1:9" hidden="1">
      <c r="A33" s="6">
        <v>9</v>
      </c>
      <c r="B33" s="6">
        <v>9</v>
      </c>
      <c r="C33" s="6" t="s">
        <v>7</v>
      </c>
      <c r="D33" s="6">
        <v>162</v>
      </c>
      <c r="E33" s="11">
        <v>4.80529233032434E-2</v>
      </c>
      <c r="F33" s="9">
        <v>3.58554013207225</v>
      </c>
      <c r="G33" s="9">
        <v>4.4561975621069998E-4</v>
      </c>
      <c r="H33" s="11">
        <f t="shared" si="0"/>
        <v>5.2285194668884039E-3</v>
      </c>
      <c r="I33" s="11">
        <f t="shared" si="1"/>
        <v>6.4578321617005052E-2</v>
      </c>
    </row>
    <row r="34" spans="1:9" hidden="1">
      <c r="A34" s="6">
        <v>9</v>
      </c>
      <c r="B34" s="6">
        <v>9</v>
      </c>
      <c r="C34" s="6" t="s">
        <v>8</v>
      </c>
      <c r="D34" s="6">
        <v>162</v>
      </c>
      <c r="E34" s="11">
        <v>8.7852473656175295E-2</v>
      </c>
      <c r="F34" s="9">
        <v>6.4996214558833501</v>
      </c>
      <c r="G34" s="9">
        <v>9.6209596428798705E-10</v>
      </c>
      <c r="H34" s="11">
        <f t="shared" si="0"/>
        <v>9.4000774835438783E-3</v>
      </c>
      <c r="I34" s="11">
        <f t="shared" si="1"/>
        <v>0.11881944254820676</v>
      </c>
    </row>
    <row r="35" spans="1:9">
      <c r="A35" s="5">
        <v>9</v>
      </c>
      <c r="B35" s="5">
        <v>9</v>
      </c>
      <c r="C35" s="6" t="s">
        <v>9</v>
      </c>
      <c r="D35" s="6">
        <v>162</v>
      </c>
      <c r="E35" s="11">
        <v>3.9799550352931902E-2</v>
      </c>
      <c r="F35" s="9">
        <v>4.9546342084023403</v>
      </c>
      <c r="G35" s="9">
        <v>1.8186101614077301E-6</v>
      </c>
      <c r="H35" s="11">
        <f t="shared" si="0"/>
        <v>4.345855351324257E-3</v>
      </c>
      <c r="I35" s="11">
        <f t="shared" si="1"/>
        <v>5.3415005411927119E-2</v>
      </c>
    </row>
    <row r="36" spans="1:9" hidden="1">
      <c r="A36" s="7">
        <v>9</v>
      </c>
      <c r="B36" s="7">
        <v>12</v>
      </c>
      <c r="C36" s="7" t="s">
        <v>7</v>
      </c>
      <c r="D36" s="7">
        <v>159</v>
      </c>
      <c r="E36" s="12">
        <v>8.6728165900356494E-2</v>
      </c>
      <c r="F36" s="10">
        <v>5.2321085991339897</v>
      </c>
      <c r="G36" s="10">
        <v>5.2562841047714004E-7</v>
      </c>
      <c r="H36" s="12">
        <f t="shared" si="0"/>
        <v>6.9550329708059078E-3</v>
      </c>
      <c r="I36" s="12">
        <f t="shared" si="1"/>
        <v>8.672816590035648E-2</v>
      </c>
    </row>
    <row r="37" spans="1:9" hidden="1">
      <c r="A37" s="7">
        <v>9</v>
      </c>
      <c r="B37" s="7">
        <v>12</v>
      </c>
      <c r="C37" s="7" t="s">
        <v>8</v>
      </c>
      <c r="D37" s="7">
        <v>159</v>
      </c>
      <c r="E37" s="12">
        <v>0.101067171729313</v>
      </c>
      <c r="F37" s="10">
        <v>6.00294907862662</v>
      </c>
      <c r="G37" s="10">
        <v>1.28122776081498E-8</v>
      </c>
      <c r="H37" s="12">
        <f t="shared" si="0"/>
        <v>8.0555952391887509E-3</v>
      </c>
      <c r="I37" s="12">
        <f t="shared" si="1"/>
        <v>0.10106717172931301</v>
      </c>
    </row>
    <row r="38" spans="1:9">
      <c r="A38" s="7">
        <v>9</v>
      </c>
      <c r="B38" s="7">
        <v>12</v>
      </c>
      <c r="C38" s="7" t="s">
        <v>9</v>
      </c>
      <c r="D38" s="7">
        <v>159</v>
      </c>
      <c r="E38" s="12">
        <v>1.4339005828957E-2</v>
      </c>
      <c r="F38" s="10">
        <v>1.4470931954716999</v>
      </c>
      <c r="G38" s="10">
        <v>0.149851938526812</v>
      </c>
      <c r="H38" s="12">
        <f t="shared" si="0"/>
        <v>1.1871353020906916E-3</v>
      </c>
      <c r="I38" s="12">
        <f t="shared" si="1"/>
        <v>1.4339005828956974E-2</v>
      </c>
    </row>
    <row r="39" spans="1:9" hidden="1">
      <c r="A39" s="6">
        <v>12</v>
      </c>
      <c r="B39" s="6">
        <v>3</v>
      </c>
      <c r="C39" s="6" t="s">
        <v>7</v>
      </c>
      <c r="D39" s="6">
        <v>165</v>
      </c>
      <c r="E39" s="11">
        <v>1.31298049074151E-2</v>
      </c>
      <c r="F39" s="9">
        <v>1.5164913278365399</v>
      </c>
      <c r="G39" s="9">
        <v>0.13132032246697001</v>
      </c>
      <c r="H39" s="11">
        <f t="shared" si="0"/>
        <v>4.3575855029771571E-3</v>
      </c>
      <c r="I39" s="11">
        <f t="shared" si="1"/>
        <v>5.3562653891619627E-2</v>
      </c>
    </row>
    <row r="40" spans="1:9" hidden="1">
      <c r="A40" s="6">
        <v>12</v>
      </c>
      <c r="B40" s="6">
        <v>3</v>
      </c>
      <c r="C40" s="6" t="s">
        <v>8</v>
      </c>
      <c r="D40" s="6">
        <v>165</v>
      </c>
      <c r="E40" s="11">
        <v>2.9857804527830701E-2</v>
      </c>
      <c r="F40" s="9">
        <v>3.6570287547745699</v>
      </c>
      <c r="G40" s="9">
        <v>3.433708367096E-4</v>
      </c>
      <c r="H40" s="11">
        <f t="shared" si="0"/>
        <v>9.855158306096401E-3</v>
      </c>
      <c r="I40" s="11">
        <f t="shared" si="1"/>
        <v>0.12488741536682402</v>
      </c>
    </row>
    <row r="41" spans="1:9">
      <c r="A41" s="5">
        <v>12</v>
      </c>
      <c r="B41" s="5">
        <v>3</v>
      </c>
      <c r="C41" s="6" t="s">
        <v>9</v>
      </c>
      <c r="D41" s="6">
        <v>165</v>
      </c>
      <c r="E41" s="11">
        <v>1.6727999620415501E-2</v>
      </c>
      <c r="F41" s="9">
        <v>2.9943113459052402</v>
      </c>
      <c r="G41" s="9">
        <v>3.1769666558371999E-3</v>
      </c>
      <c r="H41" s="11">
        <f t="shared" si="0"/>
        <v>5.5451938617947505E-3</v>
      </c>
      <c r="I41" s="11">
        <f t="shared" si="1"/>
        <v>6.8609756327006721E-2</v>
      </c>
    </row>
    <row r="42" spans="1:9" hidden="1">
      <c r="A42" s="7">
        <v>12</v>
      </c>
      <c r="B42" s="7">
        <v>6</v>
      </c>
      <c r="C42" s="7" t="s">
        <v>7</v>
      </c>
      <c r="D42" s="7">
        <v>162</v>
      </c>
      <c r="E42" s="12">
        <v>3.8367203088465397E-2</v>
      </c>
      <c r="F42" s="10">
        <v>3.40333160410874</v>
      </c>
      <c r="G42" s="10">
        <v>8.4008666486980004E-4</v>
      </c>
      <c r="H42" s="12">
        <f t="shared" si="0"/>
        <v>6.2946422455119055E-3</v>
      </c>
      <c r="I42" s="12">
        <f t="shared" si="1"/>
        <v>7.8206448449762433E-2</v>
      </c>
    </row>
    <row r="43" spans="1:9" hidden="1">
      <c r="A43" s="7">
        <v>12</v>
      </c>
      <c r="B43" s="7">
        <v>6</v>
      </c>
      <c r="C43" s="7" t="s">
        <v>8</v>
      </c>
      <c r="D43" s="7">
        <v>162</v>
      </c>
      <c r="E43" s="12">
        <v>5.6452696582520397E-2</v>
      </c>
      <c r="F43" s="10">
        <v>4.9595877918061904</v>
      </c>
      <c r="G43" s="10">
        <v>1.77885432813384E-6</v>
      </c>
      <c r="H43" s="12">
        <f t="shared" si="0"/>
        <v>9.1948121635061497E-3</v>
      </c>
      <c r="I43" s="12">
        <f t="shared" si="1"/>
        <v>0.11609230011647909</v>
      </c>
    </row>
    <row r="44" spans="1:9">
      <c r="A44" s="7">
        <v>12</v>
      </c>
      <c r="B44" s="7">
        <v>6</v>
      </c>
      <c r="C44" s="7" t="s">
        <v>9</v>
      </c>
      <c r="D44" s="7">
        <v>162</v>
      </c>
      <c r="E44" s="12">
        <v>1.8085493494054999E-2</v>
      </c>
      <c r="F44" s="10">
        <v>2.4462001815460499</v>
      </c>
      <c r="G44" s="10">
        <v>1.55133514529078E-2</v>
      </c>
      <c r="H44" s="12">
        <f t="shared" si="0"/>
        <v>2.9917825456908798E-3</v>
      </c>
      <c r="I44" s="12">
        <f t="shared" si="1"/>
        <v>3.6498072063033682E-2</v>
      </c>
    </row>
    <row r="45" spans="1:9" hidden="1">
      <c r="A45" s="6">
        <v>12</v>
      </c>
      <c r="B45" s="6">
        <v>9</v>
      </c>
      <c r="C45" s="6" t="s">
        <v>7</v>
      </c>
      <c r="D45" s="6">
        <v>159</v>
      </c>
      <c r="E45" s="11">
        <v>7.0284724153461001E-2</v>
      </c>
      <c r="F45" s="9">
        <v>5.0799503121020297</v>
      </c>
      <c r="G45" s="9">
        <v>1.0531156616157401E-6</v>
      </c>
      <c r="H45" s="11">
        <f t="shared" si="0"/>
        <v>7.5757418684838651E-3</v>
      </c>
      <c r="I45" s="11">
        <f t="shared" si="1"/>
        <v>9.4794068794873843E-2</v>
      </c>
    </row>
    <row r="46" spans="1:9" hidden="1">
      <c r="A46" s="6">
        <v>12</v>
      </c>
      <c r="B46" s="6">
        <v>9</v>
      </c>
      <c r="C46" s="6" t="s">
        <v>8</v>
      </c>
      <c r="D46" s="6">
        <v>159</v>
      </c>
      <c r="E46" s="11">
        <v>7.4728508770710106E-2</v>
      </c>
      <c r="F46" s="9">
        <v>5.3825988876026898</v>
      </c>
      <c r="G46" s="9">
        <v>2.60968075670211E-7</v>
      </c>
      <c r="H46" s="11">
        <f t="shared" si="0"/>
        <v>8.0397107025320658E-3</v>
      </c>
      <c r="I46" s="11">
        <f t="shared" si="1"/>
        <v>0.10085898766229695</v>
      </c>
    </row>
    <row r="47" spans="1:9">
      <c r="A47" s="6">
        <v>12</v>
      </c>
      <c r="B47" s="6">
        <v>9</v>
      </c>
      <c r="C47" s="6" t="s">
        <v>9</v>
      </c>
      <c r="D47" s="6">
        <v>159</v>
      </c>
      <c r="E47" s="11">
        <v>4.4437846172490003E-3</v>
      </c>
      <c r="F47" s="9">
        <v>0.49398430075692001</v>
      </c>
      <c r="G47" s="9">
        <v>0.62200330772961898</v>
      </c>
      <c r="H47" s="11">
        <f t="shared" si="0"/>
        <v>4.9278139466091275E-4</v>
      </c>
      <c r="I47" s="11">
        <f t="shared" si="1"/>
        <v>5.9294301023791185E-3</v>
      </c>
    </row>
    <row r="48" spans="1:9" hidden="1">
      <c r="A48" s="7">
        <v>12</v>
      </c>
      <c r="B48" s="7">
        <v>12</v>
      </c>
      <c r="C48" s="7" t="s">
        <v>7</v>
      </c>
      <c r="D48" s="7">
        <v>156</v>
      </c>
      <c r="E48" s="12">
        <v>0.115478540256632</v>
      </c>
      <c r="F48" s="10">
        <v>6.9121255981056704</v>
      </c>
      <c r="G48" s="10">
        <v>1.1697492475431901E-10</v>
      </c>
      <c r="H48" s="12">
        <f t="shared" si="0"/>
        <v>9.1485525904555498E-3</v>
      </c>
      <c r="I48" s="12">
        <f t="shared" si="1"/>
        <v>0.11547854025663207</v>
      </c>
    </row>
    <row r="49" spans="1:9" hidden="1">
      <c r="A49" s="7">
        <v>12</v>
      </c>
      <c r="B49" s="7">
        <v>12</v>
      </c>
      <c r="C49" s="7" t="s">
        <v>8</v>
      </c>
      <c r="D49" s="7">
        <v>156</v>
      </c>
      <c r="E49" s="12">
        <v>9.4675061827789606E-2</v>
      </c>
      <c r="F49" s="10">
        <v>5.6286221028858803</v>
      </c>
      <c r="G49" s="10">
        <v>8.2980451735021205E-8</v>
      </c>
      <c r="H49" s="12">
        <f t="shared" si="0"/>
        <v>7.5666142380717005E-3</v>
      </c>
      <c r="I49" s="12">
        <f t="shared" si="1"/>
        <v>9.4675061827789619E-2</v>
      </c>
    </row>
    <row r="50" spans="1:9">
      <c r="A50" s="7">
        <v>12</v>
      </c>
      <c r="B50" s="7">
        <v>12</v>
      </c>
      <c r="C50" s="7" t="s">
        <v>9</v>
      </c>
      <c r="D50" s="7">
        <v>156</v>
      </c>
      <c r="E50" s="12">
        <v>-2.08034784288425E-2</v>
      </c>
      <c r="F50" s="10">
        <v>-1.81445962311346</v>
      </c>
      <c r="G50" s="10">
        <v>7.1540648232988696E-2</v>
      </c>
      <c r="H50" s="12">
        <f t="shared" si="0"/>
        <v>-1.7503762637918197E-3</v>
      </c>
      <c r="I50" s="12">
        <f t="shared" si="1"/>
        <v>-2.0803478428842448E-2</v>
      </c>
    </row>
  </sheetData>
  <autoFilter ref="A2:W50" xr:uid="{DD135E85-B3B7-4A25-A2DC-A990CC3951ED}">
    <filterColumn colId="2">
      <filters>
        <filter val="winner - loser"/>
      </filters>
    </filterColumn>
  </autoFilter>
  <mergeCells count="35">
    <mergeCell ref="A1:I1"/>
    <mergeCell ref="S20:S21"/>
    <mergeCell ref="S22:S23"/>
    <mergeCell ref="R24:R29"/>
    <mergeCell ref="S24:S25"/>
    <mergeCell ref="S26:S27"/>
    <mergeCell ref="S28:S29"/>
    <mergeCell ref="R4:W4"/>
    <mergeCell ref="R6:R11"/>
    <mergeCell ref="S6:S7"/>
    <mergeCell ref="S8:S9"/>
    <mergeCell ref="S10:S11"/>
    <mergeCell ref="R12:R17"/>
    <mergeCell ref="S12:S13"/>
    <mergeCell ref="S14:S15"/>
    <mergeCell ref="S16:S17"/>
    <mergeCell ref="K24:K29"/>
    <mergeCell ref="L24:L25"/>
    <mergeCell ref="L26:L27"/>
    <mergeCell ref="L28:L29"/>
    <mergeCell ref="K18:K23"/>
    <mergeCell ref="L18:L19"/>
    <mergeCell ref="L20:L21"/>
    <mergeCell ref="L22:L23"/>
    <mergeCell ref="R18:R23"/>
    <mergeCell ref="S18:S19"/>
    <mergeCell ref="L10:L11"/>
    <mergeCell ref="K12:K17"/>
    <mergeCell ref="L12:L13"/>
    <mergeCell ref="L14:L15"/>
    <mergeCell ref="L16:L17"/>
    <mergeCell ref="K4:P4"/>
    <mergeCell ref="K6:K11"/>
    <mergeCell ref="L6:L7"/>
    <mergeCell ref="L8:L9"/>
  </mergeCells>
  <phoneticPr fontId="19" type="noConversion"/>
  <conditionalFormatting sqref="E2:E50">
    <cfRule type="cellIs" dxfId="31" priority="21" operator="lessThan">
      <formula>0</formula>
    </cfRule>
    <cfRule type="cellIs" dxfId="30" priority="22" operator="greaterThan">
      <formula>0</formula>
    </cfRule>
  </conditionalFormatting>
  <conditionalFormatting sqref="G2:G50">
    <cfRule type="cellIs" dxfId="29" priority="20" operator="lessThan">
      <formula>0.05</formula>
    </cfRule>
  </conditionalFormatting>
  <conditionalFormatting sqref="M6:P6 M8:P8 M10:P10 M12:P12 M14:P14 M16:P16 M18:P18 M20:P20 M22:P22 M24:P24 M26:P26 M28:P28">
    <cfRule type="expression" dxfId="28" priority="13">
      <formula>OR(M7&gt;1.96,M7&lt;-1.96)</formula>
    </cfRule>
  </conditionalFormatting>
  <conditionalFormatting sqref="M7:P7 M9:P9 M11:P11">
    <cfRule type="cellIs" dxfId="27" priority="12" operator="between">
      <formula>-1.96</formula>
      <formula>1.96</formula>
    </cfRule>
    <cfRule type="cellIs" dxfId="26" priority="14" operator="notBetween">
      <formula>1.96</formula>
      <formula>-1.96</formula>
    </cfRule>
  </conditionalFormatting>
  <conditionalFormatting sqref="M13:P13 M15:P15 M17:P17 M19:P19 M21:P21 M23:P23 M25:P25 M27:P27 M29:P29">
    <cfRule type="cellIs" dxfId="25" priority="10" operator="between">
      <formula>-1.96</formula>
      <formula>1.96</formula>
    </cfRule>
    <cfRule type="cellIs" dxfId="24" priority="11" operator="notBetween">
      <formula>1.96</formula>
      <formula>-1.96</formula>
    </cfRule>
  </conditionalFormatting>
  <conditionalFormatting sqref="H2:I50">
    <cfRule type="cellIs" dxfId="21" priority="6" operator="lessThan">
      <formula>0</formula>
    </cfRule>
    <cfRule type="cellIs" dxfId="20" priority="7" operator="greaterThan">
      <formula>0</formula>
    </cfRule>
  </conditionalFormatting>
  <conditionalFormatting sqref="T6:W6 T8:W8 T10:W10 T12:W12 T14:W14 T16:W16 T18:W18 T20:W20 T22:W22 T24:W24 T26:W26 T28:W28">
    <cfRule type="expression" dxfId="19" priority="4">
      <formula>OR(T7&gt;1.96,T7&lt;-1.96)</formula>
    </cfRule>
  </conditionalFormatting>
  <conditionalFormatting sqref="T7:W7 T9:W9 T11:W11">
    <cfRule type="cellIs" dxfId="18" priority="3" operator="between">
      <formula>-1.96</formula>
      <formula>1.96</formula>
    </cfRule>
    <cfRule type="cellIs" dxfId="17" priority="5" operator="notBetween">
      <formula>1.96</formula>
      <formula>-1.96</formula>
    </cfRule>
  </conditionalFormatting>
  <conditionalFormatting sqref="T13:W13 T15:W15 T17:W17 T19:W19 T21:W21 T23:W23 T25:W25 T27:W27 T29:W29">
    <cfRule type="cellIs" dxfId="16" priority="1" operator="between">
      <formula>-1.96</formula>
      <formula>1.96</formula>
    </cfRule>
    <cfRule type="cellIs" dxfId="15" priority="2" operator="notBetween">
      <formula>1.96</formula>
      <formula>-1.96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E18F-259A-4E85-8E95-A97BD26A6C00}">
  <dimension ref="A1:P69"/>
  <sheetViews>
    <sheetView topLeftCell="A37" workbookViewId="0">
      <selection activeCell="M5" sqref="M5"/>
    </sheetView>
  </sheetViews>
  <sheetFormatPr defaultRowHeight="16.5"/>
  <cols>
    <col min="3" max="3" width="13.375" customWidth="1"/>
    <col min="6" max="6" width="9.75" customWidth="1"/>
    <col min="7" max="7" width="10.75" customWidth="1"/>
    <col min="8" max="9" width="14.625" customWidth="1"/>
    <col min="10" max="10" width="4.625" customWidth="1"/>
    <col min="12" max="12" width="15.5" customWidth="1"/>
    <col min="13" max="16" width="12.625" customWidth="1"/>
    <col min="17" max="17" width="5.125" customWidth="1"/>
    <col min="18" max="18" width="14.875" customWidth="1"/>
    <col min="19" max="22" width="12.25" customWidth="1"/>
  </cols>
  <sheetData>
    <row r="1" spans="1:16">
      <c r="A1" s="29"/>
      <c r="B1" s="29"/>
      <c r="C1" s="29"/>
      <c r="D1" s="29"/>
      <c r="E1" s="29"/>
      <c r="F1" s="29"/>
      <c r="G1" s="29"/>
      <c r="H1" s="42"/>
      <c r="I1" s="42"/>
    </row>
    <row r="2" spans="1:16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23</v>
      </c>
      <c r="I2" s="4" t="s">
        <v>24</v>
      </c>
    </row>
    <row r="3" spans="1:16">
      <c r="A3" s="6">
        <v>12</v>
      </c>
      <c r="B3" s="6">
        <v>3</v>
      </c>
      <c r="C3" s="6" t="s">
        <v>7</v>
      </c>
      <c r="D3" s="6">
        <v>165</v>
      </c>
      <c r="E3" s="11">
        <v>3.1544944207615999E-3</v>
      </c>
      <c r="F3" s="9">
        <v>0.346098284987709</v>
      </c>
      <c r="G3" s="9">
        <v>0.72971245346143698</v>
      </c>
      <c r="H3" s="11">
        <f t="shared" ref="H3:H14" si="0">(1 + E3)^(1 / B3) - 1</f>
        <v>1.0503944254947051E-3</v>
      </c>
      <c r="I3" s="11">
        <f t="shared" ref="I3:I14" si="1">(1 + E3)^(12 / B3) - 1</f>
        <v>1.2677808351783559E-2</v>
      </c>
      <c r="K3" s="41"/>
      <c r="L3" s="41"/>
      <c r="M3" s="41"/>
      <c r="N3" s="41"/>
      <c r="O3" s="41"/>
      <c r="P3" s="41"/>
    </row>
    <row r="4" spans="1:16" ht="17.25" thickBot="1">
      <c r="A4" s="6">
        <v>12</v>
      </c>
      <c r="B4" s="6">
        <v>3</v>
      </c>
      <c r="C4" s="6" t="s">
        <v>8</v>
      </c>
      <c r="D4" s="6">
        <v>165</v>
      </c>
      <c r="E4" s="11">
        <v>3.4216301139181803E-2</v>
      </c>
      <c r="F4" s="9">
        <v>3.4450217272014401</v>
      </c>
      <c r="G4" s="9">
        <v>7.2512346643099999E-4</v>
      </c>
      <c r="H4" s="11">
        <f t="shared" si="0"/>
        <v>1.1277767539989103E-2</v>
      </c>
      <c r="I4" s="11">
        <f t="shared" si="1"/>
        <v>0.1440513424651424</v>
      </c>
      <c r="K4" s="25" t="s">
        <v>16</v>
      </c>
      <c r="L4" s="26" t="s">
        <v>17</v>
      </c>
      <c r="M4" s="27" t="s">
        <v>12</v>
      </c>
      <c r="N4" s="27" t="s">
        <v>13</v>
      </c>
      <c r="O4" s="27" t="s">
        <v>14</v>
      </c>
      <c r="P4" s="28" t="s">
        <v>15</v>
      </c>
    </row>
    <row r="5" spans="1:16">
      <c r="A5" s="5">
        <v>12</v>
      </c>
      <c r="B5" s="5">
        <v>3</v>
      </c>
      <c r="C5" s="6" t="s">
        <v>9</v>
      </c>
      <c r="D5" s="6">
        <v>165</v>
      </c>
      <c r="E5" s="11">
        <v>3.1061806718420199E-2</v>
      </c>
      <c r="F5" s="9">
        <v>3.2193071910272999</v>
      </c>
      <c r="G5" s="9">
        <v>1.5491643974183001E-3</v>
      </c>
      <c r="H5" s="11">
        <f t="shared" si="0"/>
        <v>1.0248544105912361E-2</v>
      </c>
      <c r="I5" s="11">
        <f t="shared" si="1"/>
        <v>0.13015705097863539</v>
      </c>
      <c r="K5" s="40"/>
      <c r="L5" s="39" t="s">
        <v>7</v>
      </c>
      <c r="M5" s="18">
        <f>$H3</f>
        <v>1.0503944254947051E-3</v>
      </c>
      <c r="N5" s="18">
        <f>$H6</f>
        <v>3.9240376360953899E-3</v>
      </c>
      <c r="O5" s="18">
        <f>$H9</f>
        <v>6.0578129901176503E-3</v>
      </c>
      <c r="P5" s="18">
        <f>$H12</f>
        <v>8.8619666615730175E-3</v>
      </c>
    </row>
    <row r="6" spans="1:16">
      <c r="A6" s="7">
        <v>12</v>
      </c>
      <c r="B6" s="7">
        <v>6</v>
      </c>
      <c r="C6" s="7" t="s">
        <v>7</v>
      </c>
      <c r="D6" s="7">
        <v>162</v>
      </c>
      <c r="E6" s="12">
        <v>2.37764089014415E-2</v>
      </c>
      <c r="F6" s="10">
        <v>1.9787205529382299</v>
      </c>
      <c r="G6" s="10">
        <v>4.9553194288381397E-2</v>
      </c>
      <c r="H6" s="12">
        <f t="shared" si="0"/>
        <v>3.9240376360953899E-3</v>
      </c>
      <c r="I6" s="12">
        <f t="shared" si="1"/>
        <v>4.8118135423131259E-2</v>
      </c>
      <c r="K6" s="36"/>
      <c r="L6" s="31"/>
      <c r="M6" s="20">
        <v>0.12770000000000001</v>
      </c>
      <c r="N6" s="20">
        <v>-0.1925</v>
      </c>
      <c r="O6" s="20">
        <v>-0.38109999999999999</v>
      </c>
      <c r="P6" s="21">
        <v>1.95E-2</v>
      </c>
    </row>
    <row r="7" spans="1:16">
      <c r="A7" s="7">
        <v>12</v>
      </c>
      <c r="B7" s="7">
        <v>6</v>
      </c>
      <c r="C7" s="7" t="s">
        <v>8</v>
      </c>
      <c r="D7" s="7">
        <v>162</v>
      </c>
      <c r="E7" s="12">
        <v>6.9417129768921698E-2</v>
      </c>
      <c r="F7" s="10">
        <v>4.1664639157073999</v>
      </c>
      <c r="G7" s="10">
        <v>5.03434206651582E-5</v>
      </c>
      <c r="H7" s="12">
        <f t="shared" si="0"/>
        <v>1.1248419952228472E-2</v>
      </c>
      <c r="I7" s="12">
        <f t="shared" si="1"/>
        <v>0.14365299744319859</v>
      </c>
      <c r="K7" s="36"/>
      <c r="L7" s="32" t="s">
        <v>8</v>
      </c>
      <c r="M7" s="18">
        <f>$H4</f>
        <v>1.1277767539989103E-2</v>
      </c>
      <c r="N7" s="18">
        <f>$H7</f>
        <v>1.1248419952228472E-2</v>
      </c>
      <c r="O7" s="18">
        <f>$H10</f>
        <v>1.0527853260665854E-2</v>
      </c>
      <c r="P7" s="18">
        <f>$H13</f>
        <v>1.0050824816221215E-2</v>
      </c>
    </row>
    <row r="8" spans="1:16">
      <c r="A8" s="7">
        <v>12</v>
      </c>
      <c r="B8" s="7">
        <v>6</v>
      </c>
      <c r="C8" s="7" t="s">
        <v>9</v>
      </c>
      <c r="D8" s="7">
        <v>162</v>
      </c>
      <c r="E8" s="12">
        <v>4.5640720867480201E-2</v>
      </c>
      <c r="F8" s="10">
        <v>3.0390235545502402</v>
      </c>
      <c r="G8" s="10">
        <v>2.7705034615846998E-3</v>
      </c>
      <c r="H8" s="12">
        <f t="shared" si="0"/>
        <v>7.4660374979016453E-3</v>
      </c>
      <c r="I8" s="12">
        <f t="shared" si="1"/>
        <v>9.3364517136263814E-2</v>
      </c>
      <c r="K8" s="36"/>
      <c r="L8" s="31"/>
      <c r="M8" s="20">
        <v>2.9832000000000001</v>
      </c>
      <c r="N8" s="20">
        <v>3.8904999999999998</v>
      </c>
      <c r="O8" s="20">
        <v>4.2088000000000001</v>
      </c>
      <c r="P8" s="21">
        <v>3.7414999999999998</v>
      </c>
    </row>
    <row r="9" spans="1:16">
      <c r="A9" s="6">
        <v>12</v>
      </c>
      <c r="B9" s="6">
        <v>9</v>
      </c>
      <c r="C9" s="6" t="s">
        <v>7</v>
      </c>
      <c r="D9" s="6">
        <v>159</v>
      </c>
      <c r="E9" s="11">
        <v>5.5860256709758402E-2</v>
      </c>
      <c r="F9" s="9">
        <v>3.5985520048489699</v>
      </c>
      <c r="G9" s="9">
        <v>4.2768990393220001E-4</v>
      </c>
      <c r="H9" s="11">
        <f t="shared" si="0"/>
        <v>6.0578129901176503E-3</v>
      </c>
      <c r="I9" s="11">
        <f t="shared" si="1"/>
        <v>7.5165344391071587E-2</v>
      </c>
      <c r="K9" s="36"/>
      <c r="L9" s="33" t="s">
        <v>9</v>
      </c>
      <c r="M9" s="18">
        <f>$H5</f>
        <v>1.0248544105912361E-2</v>
      </c>
      <c r="N9" s="18">
        <f>$H8</f>
        <v>7.4660374979016453E-3</v>
      </c>
      <c r="O9" s="18">
        <f>$H11</f>
        <v>4.6867357771038787E-3</v>
      </c>
      <c r="P9" s="19">
        <f>$H14</f>
        <v>1.3090816163550123E-3</v>
      </c>
    </row>
    <row r="10" spans="1:16">
      <c r="A10" s="6">
        <v>12</v>
      </c>
      <c r="B10" s="6">
        <v>9</v>
      </c>
      <c r="C10" s="6" t="s">
        <v>8</v>
      </c>
      <c r="D10" s="6">
        <v>159</v>
      </c>
      <c r="E10" s="11">
        <v>9.8840345005644106E-2</v>
      </c>
      <c r="F10" s="9">
        <v>4.5235667867937197</v>
      </c>
      <c r="G10" s="9">
        <v>1.18844311783479E-5</v>
      </c>
      <c r="H10" s="11">
        <f t="shared" si="0"/>
        <v>1.0527853260665854E-2</v>
      </c>
      <c r="I10" s="11">
        <f t="shared" si="1"/>
        <v>0.13391228912558018</v>
      </c>
      <c r="K10" s="37"/>
      <c r="L10" s="34"/>
      <c r="M10" s="22">
        <v>3.6674000000000002</v>
      </c>
      <c r="N10" s="22">
        <v>7.1727999999999996</v>
      </c>
      <c r="O10" s="22">
        <v>8.6905999999999999</v>
      </c>
      <c r="P10" s="23">
        <v>7.0267999999999997</v>
      </c>
    </row>
    <row r="11" spans="1:16">
      <c r="A11" s="6">
        <v>12</v>
      </c>
      <c r="B11" s="6">
        <v>9</v>
      </c>
      <c r="C11" s="6" t="s">
        <v>9</v>
      </c>
      <c r="D11" s="6">
        <v>159</v>
      </c>
      <c r="E11" s="11">
        <v>4.2980088295885698E-2</v>
      </c>
      <c r="F11" s="9">
        <v>2.2529072878399798</v>
      </c>
      <c r="G11" s="9">
        <v>2.5641547928063699E-2</v>
      </c>
      <c r="H11" s="11">
        <f t="shared" si="0"/>
        <v>4.6867357771038787E-3</v>
      </c>
      <c r="I11" s="11">
        <f t="shared" si="1"/>
        <v>5.7713440663983206E-2</v>
      </c>
    </row>
    <row r="12" spans="1:16">
      <c r="A12" s="7">
        <v>12</v>
      </c>
      <c r="B12" s="7">
        <v>12</v>
      </c>
      <c r="C12" s="7" t="s">
        <v>7</v>
      </c>
      <c r="D12" s="7">
        <v>156</v>
      </c>
      <c r="E12" s="12">
        <v>0.11168308391100799</v>
      </c>
      <c r="F12" s="10">
        <v>5.0466906839338996</v>
      </c>
      <c r="G12" s="10">
        <v>1.2453457932528399E-6</v>
      </c>
      <c r="H12" s="12">
        <f t="shared" si="0"/>
        <v>8.8619666615730175E-3</v>
      </c>
      <c r="I12" s="12">
        <f t="shared" si="1"/>
        <v>0.1116830839110079</v>
      </c>
    </row>
    <row r="13" spans="1:16">
      <c r="A13" s="7">
        <v>12</v>
      </c>
      <c r="B13" s="7">
        <v>12</v>
      </c>
      <c r="C13" s="7" t="s">
        <v>8</v>
      </c>
      <c r="D13" s="7">
        <v>156</v>
      </c>
      <c r="E13" s="12">
        <v>0.127505662153338</v>
      </c>
      <c r="F13" s="10">
        <v>5.1078009477432502</v>
      </c>
      <c r="G13" s="10">
        <v>9.4539764901292798E-7</v>
      </c>
      <c r="H13" s="12">
        <f t="shared" si="0"/>
        <v>1.0050824816221215E-2</v>
      </c>
      <c r="I13" s="12">
        <f t="shared" si="1"/>
        <v>0.12750566215333792</v>
      </c>
    </row>
    <row r="14" spans="1:16">
      <c r="A14" s="7">
        <v>12</v>
      </c>
      <c r="B14" s="7">
        <v>12</v>
      </c>
      <c r="C14" s="7" t="s">
        <v>9</v>
      </c>
      <c r="D14" s="7">
        <v>156</v>
      </c>
      <c r="E14" s="12">
        <v>1.5822578242329799E-2</v>
      </c>
      <c r="F14" s="10">
        <v>0.65997902248077001</v>
      </c>
      <c r="G14" s="10">
        <v>0.51024680189673999</v>
      </c>
      <c r="H14" s="12">
        <f t="shared" si="0"/>
        <v>1.3090816163550123E-3</v>
      </c>
      <c r="I14" s="12">
        <f t="shared" si="1"/>
        <v>1.5822578242329799E-2</v>
      </c>
    </row>
    <row r="17" spans="1:16" ht="17.25" thickBot="1">
      <c r="A17" s="25" t="s">
        <v>11</v>
      </c>
      <c r="B17" s="26" t="s">
        <v>10</v>
      </c>
      <c r="C17" s="62" t="s">
        <v>30</v>
      </c>
      <c r="K17" t="s">
        <v>18</v>
      </c>
    </row>
    <row r="18" spans="1:16">
      <c r="A18" s="40">
        <v>3</v>
      </c>
      <c r="B18" s="39" t="s">
        <v>7</v>
      </c>
      <c r="C18" s="43">
        <v>1.0085790008584894E-4</v>
      </c>
      <c r="D18" s="43">
        <v>2.5059323679579304E-3</v>
      </c>
      <c r="E18" s="43">
        <v>1.669305435814783E-3</v>
      </c>
      <c r="F18" s="43">
        <v>1.9196450082001881E-3</v>
      </c>
      <c r="K18" t="s">
        <v>25</v>
      </c>
      <c r="L18" t="s">
        <v>26</v>
      </c>
      <c r="M18" t="s">
        <v>12</v>
      </c>
      <c r="N18" t="s">
        <v>13</v>
      </c>
      <c r="O18" t="s">
        <v>14</v>
      </c>
      <c r="P18" t="s">
        <v>15</v>
      </c>
    </row>
    <row r="19" spans="1:16">
      <c r="A19" s="36"/>
      <c r="B19" s="31"/>
      <c r="C19" s="44"/>
      <c r="D19" s="44"/>
      <c r="E19" s="44"/>
      <c r="F19" s="44"/>
      <c r="K19" t="s">
        <v>12</v>
      </c>
      <c r="L19" t="s">
        <v>7</v>
      </c>
      <c r="M19" s="43">
        <v>4.2236009573914934E-4</v>
      </c>
      <c r="N19" s="43">
        <v>-3.7459469273848356E-4</v>
      </c>
      <c r="O19" s="43">
        <v>-5.5458653956874659E-4</v>
      </c>
      <c r="P19" s="43">
        <v>2.603865734562838E-5</v>
      </c>
    </row>
    <row r="20" spans="1:16">
      <c r="A20" s="36"/>
      <c r="B20" s="32" t="s">
        <v>8</v>
      </c>
      <c r="C20" s="43">
        <v>1.0137618184604902E-2</v>
      </c>
      <c r="D20" s="43">
        <v>1.0650848828871684E-2</v>
      </c>
      <c r="E20" s="43">
        <v>9.6754668177969627E-3</v>
      </c>
      <c r="F20" s="43">
        <v>7.4618345874273295E-3</v>
      </c>
      <c r="M20" s="44"/>
      <c r="N20" s="44"/>
      <c r="O20" s="44"/>
      <c r="P20" s="44"/>
    </row>
    <row r="21" spans="1:16">
      <c r="A21" s="36"/>
      <c r="B21" s="31"/>
      <c r="C21" s="44"/>
      <c r="D21" s="44"/>
      <c r="E21" s="44"/>
      <c r="F21" s="44"/>
      <c r="K21" t="s">
        <v>12</v>
      </c>
      <c r="L21" t="s">
        <v>8</v>
      </c>
      <c r="M21" s="43">
        <v>8.1308625067804119E-3</v>
      </c>
      <c r="N21" s="43">
        <v>7.6062994225785108E-3</v>
      </c>
      <c r="O21" s="43">
        <v>6.7539463146371048E-3</v>
      </c>
      <c r="P21" s="43">
        <v>5.3781711207152583E-3</v>
      </c>
    </row>
    <row r="22" spans="1:16">
      <c r="A22" s="36"/>
      <c r="B22" s="33" t="s">
        <v>9</v>
      </c>
      <c r="C22" s="43">
        <v>1.0038754876398048E-2</v>
      </c>
      <c r="D22" s="43">
        <v>8.2449960801396216E-3</v>
      </c>
      <c r="E22" s="43">
        <v>8.1098874141820598E-3</v>
      </c>
      <c r="F22" s="43">
        <v>5.6564376655499071E-3</v>
      </c>
      <c r="M22" s="44"/>
      <c r="N22" s="44"/>
      <c r="O22" s="44"/>
      <c r="P22" s="44"/>
    </row>
    <row r="23" spans="1:16">
      <c r="A23" s="37"/>
      <c r="B23" s="34"/>
      <c r="C23" s="44"/>
      <c r="D23" s="44"/>
      <c r="E23" s="44"/>
      <c r="F23" s="44"/>
      <c r="K23" t="s">
        <v>12</v>
      </c>
      <c r="L23" t="s">
        <v>9</v>
      </c>
      <c r="M23" s="43">
        <v>7.7149407269514469E-3</v>
      </c>
      <c r="N23" s="43">
        <v>7.9663078081129157E-3</v>
      </c>
      <c r="O23" s="43">
        <v>7.2772048373723752E-3</v>
      </c>
      <c r="P23" s="43">
        <v>5.3536175221247095E-3</v>
      </c>
    </row>
    <row r="24" spans="1:16">
      <c r="A24" s="35">
        <v>6</v>
      </c>
      <c r="B24" s="30" t="s">
        <v>7</v>
      </c>
      <c r="C24" s="43">
        <v>1.5886419627213488E-3</v>
      </c>
      <c r="D24" s="43">
        <v>3.1383247542779991E-3</v>
      </c>
      <c r="E24" s="43">
        <v>2.1995686836266959E-3</v>
      </c>
      <c r="F24" s="43">
        <v>2.5189498146063194E-3</v>
      </c>
      <c r="M24" s="44"/>
      <c r="N24" s="44"/>
      <c r="O24" s="44"/>
      <c r="P24" s="44"/>
    </row>
    <row r="25" spans="1:16">
      <c r="A25" s="36"/>
      <c r="B25" s="31"/>
      <c r="C25" s="44"/>
      <c r="D25" s="44"/>
      <c r="E25" s="44"/>
      <c r="F25" s="44"/>
      <c r="K25" s="35" t="s">
        <v>13</v>
      </c>
      <c r="L25" s="30" t="s">
        <v>7</v>
      </c>
      <c r="M25" s="43">
        <v>-4.6943858695258633E-4</v>
      </c>
      <c r="N25" s="43">
        <v>-1.0754901088527724E-3</v>
      </c>
      <c r="O25" s="43">
        <v>-5.8507409222985363E-4</v>
      </c>
      <c r="P25" s="43">
        <v>2.7830424005936827E-4</v>
      </c>
    </row>
    <row r="26" spans="1:16">
      <c r="A26" s="36"/>
      <c r="B26" s="32" t="s">
        <v>8</v>
      </c>
      <c r="C26" s="43">
        <v>8.9580745357971114E-3</v>
      </c>
      <c r="D26" s="43">
        <v>8.8543015551387771E-3</v>
      </c>
      <c r="E26" s="43">
        <v>6.5296836430313032E-3</v>
      </c>
      <c r="F26" s="43">
        <v>4.318110224974081E-3</v>
      </c>
      <c r="K26" s="36"/>
      <c r="L26" s="31"/>
      <c r="M26" s="44"/>
      <c r="N26" s="44"/>
      <c r="O26" s="44"/>
      <c r="P26" s="44"/>
    </row>
    <row r="27" spans="1:16">
      <c r="A27" s="36"/>
      <c r="B27" s="31"/>
      <c r="C27" s="44"/>
      <c r="D27" s="44"/>
      <c r="E27" s="44"/>
      <c r="F27" s="44"/>
      <c r="K27" s="36" t="s">
        <v>13</v>
      </c>
      <c r="L27" s="32" t="s">
        <v>8</v>
      </c>
      <c r="M27" s="43">
        <v>9.3933314033969317E-3</v>
      </c>
      <c r="N27" s="43">
        <v>8.7118750915595733E-3</v>
      </c>
      <c r="O27" s="43">
        <v>7.0617409555484567E-3</v>
      </c>
      <c r="P27" s="43">
        <v>5.3505269194409344E-3</v>
      </c>
    </row>
    <row r="28" spans="1:16">
      <c r="A28" s="36"/>
      <c r="B28" s="33" t="s">
        <v>9</v>
      </c>
      <c r="C28" s="43">
        <v>7.3926088368039267E-3</v>
      </c>
      <c r="D28" s="43">
        <v>5.804686019913019E-3</v>
      </c>
      <c r="E28" s="43">
        <v>4.4054005390099515E-3</v>
      </c>
      <c r="F28" s="43">
        <v>1.8490899802272587E-3</v>
      </c>
      <c r="K28" s="36"/>
      <c r="L28" s="31"/>
      <c r="M28" s="44"/>
      <c r="N28" s="44"/>
      <c r="O28" s="44"/>
      <c r="P28" s="44"/>
    </row>
    <row r="29" spans="1:16">
      <c r="A29" s="37"/>
      <c r="B29" s="34"/>
      <c r="C29" s="44"/>
      <c r="D29" s="44"/>
      <c r="E29" s="44"/>
      <c r="F29" s="44"/>
      <c r="K29" s="36" t="s">
        <v>13</v>
      </c>
      <c r="L29" s="33" t="s">
        <v>9</v>
      </c>
      <c r="M29" s="43">
        <v>9.8536473228396648E-3</v>
      </c>
      <c r="N29" s="43">
        <v>9.7363477341125826E-3</v>
      </c>
      <c r="O29" s="43">
        <v>7.6122900379147485E-3</v>
      </c>
      <c r="P29" s="43">
        <v>5.0873078352458023E-3</v>
      </c>
    </row>
    <row r="30" spans="1:16">
      <c r="A30" s="35">
        <v>9</v>
      </c>
      <c r="B30" s="30" t="s">
        <v>7</v>
      </c>
      <c r="C30" s="43">
        <v>1.9902468986443544E-4</v>
      </c>
      <c r="D30" s="43">
        <v>1.0309664643015637E-4</v>
      </c>
      <c r="E30" s="43">
        <v>1.6914855958538588E-4</v>
      </c>
      <c r="F30" s="43">
        <v>1.2743463085289619E-3</v>
      </c>
      <c r="K30" s="37"/>
      <c r="L30" s="34"/>
      <c r="M30" s="44"/>
      <c r="N30" s="44"/>
      <c r="O30" s="44"/>
      <c r="P30" s="44"/>
    </row>
    <row r="31" spans="1:16">
      <c r="A31" s="36"/>
      <c r="B31" s="31"/>
      <c r="C31" s="44"/>
      <c r="D31" s="44"/>
      <c r="E31" s="44"/>
      <c r="F31" s="44"/>
      <c r="K31" s="35" t="s">
        <v>14</v>
      </c>
      <c r="L31" s="30" t="s">
        <v>7</v>
      </c>
      <c r="M31" s="43">
        <v>-9.7973012235996748E-4</v>
      </c>
      <c r="N31" s="43">
        <v>-6.9166023694511303E-4</v>
      </c>
      <c r="O31" s="43">
        <v>7.3955420436755404E-5</v>
      </c>
      <c r="P31" s="43">
        <v>1.8051128719176468E-3</v>
      </c>
    </row>
    <row r="32" spans="1:16">
      <c r="A32" s="36"/>
      <c r="B32" s="32" t="s">
        <v>8</v>
      </c>
      <c r="C32" s="43">
        <v>9.4029655482583685E-3</v>
      </c>
      <c r="D32" s="43">
        <v>6.8199243521955832E-3</v>
      </c>
      <c r="E32" s="43">
        <v>4.3989748448740595E-3</v>
      </c>
      <c r="F32" s="43">
        <v>3.4314372997850118E-3</v>
      </c>
      <c r="K32" s="36"/>
      <c r="L32" s="31"/>
      <c r="M32" s="44"/>
      <c r="N32" s="44"/>
      <c r="O32" s="44"/>
      <c r="P32" s="44"/>
    </row>
    <row r="33" spans="1:16">
      <c r="A33" s="36"/>
      <c r="B33" s="31"/>
      <c r="C33" s="44"/>
      <c r="D33" s="44"/>
      <c r="E33" s="44"/>
      <c r="F33" s="44"/>
      <c r="K33" s="36" t="s">
        <v>14</v>
      </c>
      <c r="L33" s="32" t="s">
        <v>8</v>
      </c>
      <c r="M33" s="43">
        <v>9.4846127880758857E-3</v>
      </c>
      <c r="N33" s="43">
        <v>7.551120518704213E-3</v>
      </c>
      <c r="O33" s="43">
        <v>5.8035576335810912E-3</v>
      </c>
      <c r="P33" s="43">
        <v>4.3013517701586679E-3</v>
      </c>
    </row>
    <row r="34" spans="1:16">
      <c r="A34" s="36"/>
      <c r="B34" s="33" t="s">
        <v>9</v>
      </c>
      <c r="C34" s="43">
        <v>9.2075548603509638E-3</v>
      </c>
      <c r="D34" s="43">
        <v>6.7202220963693549E-3</v>
      </c>
      <c r="E34" s="43">
        <v>4.2354458019948638E-3</v>
      </c>
      <c r="F34" s="43">
        <v>2.1871267258086746E-3</v>
      </c>
      <c r="K34" s="36"/>
      <c r="L34" s="31"/>
      <c r="M34" s="44"/>
      <c r="N34" s="44"/>
      <c r="O34" s="44"/>
      <c r="P34" s="44"/>
    </row>
    <row r="35" spans="1:16">
      <c r="A35" s="37"/>
      <c r="B35" s="34"/>
      <c r="C35" s="44"/>
      <c r="D35" s="44"/>
      <c r="E35" s="44"/>
      <c r="F35" s="44"/>
      <c r="K35" s="36" t="s">
        <v>14</v>
      </c>
      <c r="L35" s="33" t="s">
        <v>9</v>
      </c>
      <c r="M35" s="43">
        <v>1.044416529710035E-2</v>
      </c>
      <c r="N35" s="43">
        <v>8.2150026845630997E-3</v>
      </c>
      <c r="O35" s="43">
        <v>5.7329071450500368E-3</v>
      </c>
      <c r="P35" s="43">
        <v>2.5454996656635309E-3</v>
      </c>
    </row>
    <row r="36" spans="1:16">
      <c r="A36" s="35">
        <v>12</v>
      </c>
      <c r="B36" s="30" t="s">
        <v>7</v>
      </c>
      <c r="C36" s="43">
        <v>-2.0778501191220933E-3</v>
      </c>
      <c r="D36" s="43">
        <v>-1.1579623906210479E-4</v>
      </c>
      <c r="E36" s="43">
        <v>1.9047946045160913E-3</v>
      </c>
      <c r="F36" s="43">
        <v>3.8812578470888148E-3</v>
      </c>
      <c r="K36" s="37"/>
      <c r="L36" s="34"/>
      <c r="M36" s="44"/>
      <c r="N36" s="44"/>
      <c r="O36" s="44"/>
      <c r="P36" s="44"/>
    </row>
    <row r="37" spans="1:16">
      <c r="A37" s="36"/>
      <c r="B37" s="31"/>
      <c r="C37" s="44"/>
      <c r="D37" s="44"/>
      <c r="E37" s="44"/>
      <c r="F37" s="44"/>
      <c r="K37" s="35" t="s">
        <v>15</v>
      </c>
      <c r="L37" s="30" t="s">
        <v>7</v>
      </c>
      <c r="M37" s="43">
        <v>3.2289572136212641E-4</v>
      </c>
      <c r="N37" s="43">
        <v>1.1773617912080869E-3</v>
      </c>
      <c r="O37" s="43">
        <v>2.3921071938923788E-3</v>
      </c>
      <c r="P37" s="43">
        <v>4.0950492623594847E-3</v>
      </c>
    </row>
    <row r="38" spans="1:16">
      <c r="A38" s="36"/>
      <c r="B38" s="32" t="s">
        <v>8</v>
      </c>
      <c r="C38" s="43">
        <v>5.1603474397456939E-3</v>
      </c>
      <c r="D38" s="43">
        <v>3.5407112351235615E-3</v>
      </c>
      <c r="E38" s="43">
        <v>3.6896039670997194E-3</v>
      </c>
      <c r="F38" s="43">
        <v>4.1167264712675955E-3</v>
      </c>
      <c r="K38" s="36"/>
      <c r="L38" s="31"/>
      <c r="M38" s="44"/>
      <c r="N38" s="44"/>
      <c r="O38" s="44"/>
      <c r="P38" s="44"/>
    </row>
    <row r="39" spans="1:16">
      <c r="A39" s="36"/>
      <c r="B39" s="31"/>
      <c r="C39" s="44"/>
      <c r="D39" s="44"/>
      <c r="E39" s="44"/>
      <c r="F39" s="44"/>
      <c r="K39" s="36" t="s">
        <v>15</v>
      </c>
      <c r="L39" s="32" t="s">
        <v>8</v>
      </c>
      <c r="M39" s="43">
        <v>6.7027733063056427E-3</v>
      </c>
      <c r="N39" s="43">
        <v>5.3413216956781362E-3</v>
      </c>
      <c r="O39" s="43">
        <v>4.4697294593440962E-3</v>
      </c>
      <c r="P39" s="43">
        <v>4.4570719415784055E-3</v>
      </c>
    </row>
    <row r="40" spans="1:16">
      <c r="A40" s="36"/>
      <c r="B40" s="33" t="s">
        <v>9</v>
      </c>
      <c r="C40" s="43">
        <v>7.2084711668527479E-3</v>
      </c>
      <c r="D40" s="43">
        <v>3.6544139245389129E-3</v>
      </c>
      <c r="E40" s="43">
        <v>1.8119672290559663E-3</v>
      </c>
      <c r="F40" s="43">
        <v>2.4570399824863642E-4</v>
      </c>
      <c r="K40" s="36"/>
      <c r="L40" s="31"/>
      <c r="M40" s="44"/>
      <c r="N40" s="44"/>
      <c r="O40" s="44"/>
      <c r="P40" s="44"/>
    </row>
    <row r="41" spans="1:16">
      <c r="A41" s="38"/>
      <c r="B41" s="34"/>
      <c r="C41" s="44"/>
      <c r="D41" s="44"/>
      <c r="E41" s="44"/>
      <c r="F41" s="44"/>
      <c r="K41" s="36" t="s">
        <v>15</v>
      </c>
      <c r="L41" s="33" t="s">
        <v>9</v>
      </c>
      <c r="M41" s="43">
        <v>6.3839591999350631E-3</v>
      </c>
      <c r="N41" s="43">
        <v>4.1882245732436374E-3</v>
      </c>
      <c r="O41" s="43">
        <v>2.1173369937266262E-3</v>
      </c>
      <c r="P41" s="43">
        <v>3.7863054490094861E-4</v>
      </c>
    </row>
    <row r="42" spans="1:16">
      <c r="K42" s="38"/>
      <c r="L42" s="34"/>
      <c r="M42" s="44"/>
      <c r="N42" s="44"/>
      <c r="O42" s="44"/>
      <c r="P42" s="44"/>
    </row>
    <row r="43" spans="1:16" ht="17.25" thickBot="1">
      <c r="A43" s="25" t="s">
        <v>16</v>
      </c>
      <c r="B43" s="26" t="s">
        <v>17</v>
      </c>
      <c r="C43" t="s">
        <v>31</v>
      </c>
    </row>
    <row r="44" spans="1:16">
      <c r="A44" s="40" t="s">
        <v>12</v>
      </c>
      <c r="B44" s="39" t="s">
        <v>7</v>
      </c>
      <c r="C44" s="43">
        <v>5.3128261844221925E-3</v>
      </c>
      <c r="D44" s="43">
        <v>6.4165102875011204E-3</v>
      </c>
      <c r="E44" s="43">
        <v>5.427474166272539E-3</v>
      </c>
      <c r="F44" s="43">
        <v>6.3911134412326653E-3</v>
      </c>
      <c r="K44" t="s">
        <v>20</v>
      </c>
    </row>
    <row r="45" spans="1:16">
      <c r="A45" s="36"/>
      <c r="B45" s="31"/>
      <c r="C45" s="44"/>
      <c r="D45" s="44"/>
      <c r="E45" s="44"/>
      <c r="F45" s="44"/>
      <c r="K45" t="s">
        <v>25</v>
      </c>
      <c r="L45" t="s">
        <v>26</v>
      </c>
      <c r="M45" t="s">
        <v>12</v>
      </c>
      <c r="N45" t="s">
        <v>13</v>
      </c>
      <c r="O45" t="s">
        <v>14</v>
      </c>
      <c r="P45" t="s">
        <v>15</v>
      </c>
    </row>
    <row r="46" spans="1:16">
      <c r="A46" s="36" t="s">
        <v>12</v>
      </c>
      <c r="B46" s="32" t="s">
        <v>8</v>
      </c>
      <c r="C46" s="43">
        <v>1.4296343118266552E-2</v>
      </c>
      <c r="D46" s="43">
        <v>1.5752491808820102E-2</v>
      </c>
      <c r="E46" s="43">
        <v>1.5184790402828607E-2</v>
      </c>
      <c r="F46" s="43">
        <v>1.2574361269001022E-2</v>
      </c>
      <c r="K46" t="s">
        <v>12</v>
      </c>
      <c r="L46" t="s">
        <v>7</v>
      </c>
      <c r="M46" s="43">
        <v>2.9793850439461256E-3</v>
      </c>
      <c r="N46" s="43">
        <v>3.1724705290812061E-3</v>
      </c>
      <c r="O46" s="43">
        <v>3.4672028751747686E-3</v>
      </c>
      <c r="P46" s="43">
        <v>4.4886485336241844E-3</v>
      </c>
    </row>
    <row r="47" spans="1:16">
      <c r="A47" s="36"/>
      <c r="B47" s="31"/>
      <c r="C47" s="44"/>
      <c r="D47" s="44"/>
      <c r="E47" s="44"/>
      <c r="F47" s="44"/>
      <c r="M47" s="44"/>
      <c r="N47" s="44"/>
      <c r="O47" s="44"/>
      <c r="P47" s="44"/>
    </row>
    <row r="48" spans="1:16">
      <c r="A48" s="36" t="s">
        <v>12</v>
      </c>
      <c r="B48" s="33" t="s">
        <v>9</v>
      </c>
      <c r="C48" s="43">
        <v>9.0779418433364345E-3</v>
      </c>
      <c r="D48" s="43">
        <v>1.2610331071272851E-2</v>
      </c>
      <c r="E48" s="43">
        <v>1.0170039933412145E-2</v>
      </c>
      <c r="F48" s="43">
        <v>6.6148262636673838E-3</v>
      </c>
      <c r="K48" t="s">
        <v>12</v>
      </c>
      <c r="L48" t="s">
        <v>8</v>
      </c>
      <c r="M48" s="43">
        <v>1.2007341656524728E-2</v>
      </c>
      <c r="N48" s="43">
        <v>1.1575855013642222E-2</v>
      </c>
      <c r="O48" s="43">
        <v>1.0637911105977116E-2</v>
      </c>
      <c r="P48" s="43">
        <v>9.449050362625E-3</v>
      </c>
    </row>
    <row r="49" spans="1:16">
      <c r="A49" s="37"/>
      <c r="B49" s="34"/>
      <c r="C49" s="44"/>
      <c r="D49" s="44"/>
      <c r="E49" s="44"/>
      <c r="F49" s="44"/>
      <c r="M49" s="44"/>
      <c r="N49" s="44"/>
      <c r="O49" s="44"/>
      <c r="P49" s="44"/>
    </row>
    <row r="50" spans="1:16">
      <c r="A50" s="35" t="s">
        <v>13</v>
      </c>
      <c r="B50" s="30" t="s">
        <v>7</v>
      </c>
      <c r="C50" s="43">
        <v>3.566695239616946E-3</v>
      </c>
      <c r="D50" s="43">
        <v>4.7797967631271199E-3</v>
      </c>
      <c r="E50" s="43">
        <v>4.9520296856613299E-3</v>
      </c>
      <c r="F50" s="43">
        <v>6.5798567527752816E-3</v>
      </c>
      <c r="K50" t="s">
        <v>12</v>
      </c>
      <c r="L50" t="s">
        <v>9</v>
      </c>
      <c r="M50" s="43">
        <v>9.0811082174948599E-3</v>
      </c>
      <c r="N50" s="43">
        <v>8.5341678593591208E-3</v>
      </c>
      <c r="O50" s="43">
        <v>7.3655335276798795E-3</v>
      </c>
      <c r="P50" s="43">
        <v>5.2032593845656727E-3</v>
      </c>
    </row>
    <row r="51" spans="1:16">
      <c r="A51" s="36"/>
      <c r="B51" s="31"/>
      <c r="C51" s="44"/>
      <c r="D51" s="44"/>
      <c r="E51" s="44"/>
      <c r="F51" s="44"/>
      <c r="M51" s="44"/>
      <c r="N51" s="44"/>
      <c r="O51" s="44"/>
      <c r="P51" s="44"/>
    </row>
    <row r="52" spans="1:16">
      <c r="A52" s="36" t="s">
        <v>13</v>
      </c>
      <c r="B52" s="32" t="s">
        <v>8</v>
      </c>
      <c r="C52" s="43">
        <v>1.520382218025107E-2</v>
      </c>
      <c r="D52" s="43">
        <v>1.4485905139342892E-2</v>
      </c>
      <c r="E52" s="43">
        <v>1.3013188040126744E-2</v>
      </c>
      <c r="F52" s="43">
        <v>1.1010902973388248E-2</v>
      </c>
      <c r="K52" s="35" t="s">
        <v>13</v>
      </c>
      <c r="L52" s="30" t="s">
        <v>7</v>
      </c>
      <c r="M52" s="43">
        <v>2.8047688911767565E-3</v>
      </c>
      <c r="N52" s="43">
        <v>2.9735866680946632E-3</v>
      </c>
      <c r="O52" s="43">
        <v>4.0144679626890056E-3</v>
      </c>
      <c r="P52" s="43">
        <v>5.4561214483788145E-3</v>
      </c>
    </row>
    <row r="53" spans="1:16">
      <c r="A53" s="36"/>
      <c r="B53" s="31"/>
      <c r="C53" s="44"/>
      <c r="D53" s="44"/>
      <c r="E53" s="44"/>
      <c r="F53" s="44"/>
      <c r="K53" s="36"/>
      <c r="L53" s="31"/>
      <c r="M53" s="44"/>
      <c r="N53" s="44"/>
      <c r="O53" s="44"/>
      <c r="P53" s="44"/>
    </row>
    <row r="54" spans="1:16">
      <c r="A54" s="36" t="s">
        <v>13</v>
      </c>
      <c r="B54" s="33" t="s">
        <v>9</v>
      </c>
      <c r="C54" s="43">
        <v>1.1718850288543692E-2</v>
      </c>
      <c r="D54" s="43">
        <v>9.9334961667942867E-3</v>
      </c>
      <c r="E54" s="43">
        <v>8.3742126069297207E-3</v>
      </c>
      <c r="F54" s="43">
        <v>4.7532815891686564E-3</v>
      </c>
      <c r="K54" s="36" t="s">
        <v>13</v>
      </c>
      <c r="L54" s="32" t="s">
        <v>8</v>
      </c>
      <c r="M54" s="43">
        <v>1.2414387944889249E-2</v>
      </c>
      <c r="N54" s="43">
        <v>1.2064246397408329E-2</v>
      </c>
      <c r="O54" s="43">
        <v>1.0639944967364867E-2</v>
      </c>
      <c r="P54" s="43">
        <v>9.2107034871309335E-3</v>
      </c>
    </row>
    <row r="55" spans="1:16">
      <c r="A55" s="37"/>
      <c r="B55" s="34"/>
      <c r="C55" s="44"/>
      <c r="D55" s="44"/>
      <c r="E55" s="44"/>
      <c r="F55" s="44"/>
      <c r="K55" s="36"/>
      <c r="L55" s="31"/>
      <c r="M55" s="44"/>
      <c r="N55" s="44"/>
      <c r="O55" s="44"/>
      <c r="P55" s="44"/>
    </row>
    <row r="56" spans="1:16">
      <c r="A56" s="35" t="s">
        <v>14</v>
      </c>
      <c r="B56" s="30" t="s">
        <v>7</v>
      </c>
      <c r="C56" s="43">
        <v>1.9039381726457805E-3</v>
      </c>
      <c r="D56" s="43">
        <v>3.1524512077070188E-3</v>
      </c>
      <c r="E56" s="43">
        <v>4.531651996193542E-3</v>
      </c>
      <c r="F56" s="43">
        <v>7.0479781569972033E-3</v>
      </c>
      <c r="K56" s="36" t="s">
        <v>13</v>
      </c>
      <c r="L56" s="33" t="s">
        <v>9</v>
      </c>
      <c r="M56" s="43">
        <v>9.6628287548110592E-3</v>
      </c>
      <c r="N56" s="43">
        <v>9.222947518546798E-3</v>
      </c>
      <c r="O56" s="43">
        <v>6.8347946497242518E-3</v>
      </c>
      <c r="P56" s="43">
        <v>3.9807456617366732E-3</v>
      </c>
    </row>
    <row r="57" spans="1:16">
      <c r="A57" s="36"/>
      <c r="B57" s="31"/>
      <c r="C57" s="44"/>
      <c r="D57" s="44"/>
      <c r="E57" s="44"/>
      <c r="F57" s="44"/>
      <c r="K57" s="37"/>
      <c r="L57" s="34"/>
      <c r="M57" s="44"/>
      <c r="N57" s="44"/>
      <c r="O57" s="44"/>
      <c r="P57" s="44"/>
    </row>
    <row r="58" spans="1:16">
      <c r="A58" s="36" t="s">
        <v>14</v>
      </c>
      <c r="B58" s="32" t="s">
        <v>8</v>
      </c>
      <c r="C58" s="43">
        <v>1.5581477315895986E-2</v>
      </c>
      <c r="D58" s="43">
        <v>1.3348820341297696E-2</v>
      </c>
      <c r="E58" s="43">
        <v>1.1166540594599317E-2</v>
      </c>
      <c r="F58" s="43">
        <v>9.8751242957872964E-3</v>
      </c>
      <c r="K58" s="35" t="s">
        <v>14</v>
      </c>
      <c r="L58" s="30" t="s">
        <v>7</v>
      </c>
      <c r="M58" s="43">
        <v>2.554114734574231E-3</v>
      </c>
      <c r="N58" s="43">
        <v>3.8821400345152579E-3</v>
      </c>
      <c r="O58" s="43">
        <v>5.2285194668884039E-3</v>
      </c>
      <c r="P58" s="43">
        <v>6.9550329708059078E-3</v>
      </c>
    </row>
    <row r="59" spans="1:16">
      <c r="A59" s="36"/>
      <c r="B59" s="31"/>
      <c r="C59" s="44"/>
      <c r="D59" s="44"/>
      <c r="E59" s="44"/>
      <c r="F59" s="44"/>
      <c r="K59" s="36"/>
      <c r="L59" s="31"/>
      <c r="M59" s="44"/>
      <c r="N59" s="44"/>
      <c r="O59" s="44"/>
      <c r="P59" s="44"/>
    </row>
    <row r="60" spans="1:16">
      <c r="A60" s="36" t="s">
        <v>14</v>
      </c>
      <c r="B60" s="33" t="s">
        <v>9</v>
      </c>
      <c r="C60" s="43">
        <v>1.3728617819708244E-2</v>
      </c>
      <c r="D60" s="43">
        <v>1.0353205534288756E-2</v>
      </c>
      <c r="E60" s="43">
        <v>6.8719004659985039E-3</v>
      </c>
      <c r="F60" s="43">
        <v>3.0501288496465051E-3</v>
      </c>
      <c r="K60" s="36" t="s">
        <v>14</v>
      </c>
      <c r="L60" s="32" t="s">
        <v>8</v>
      </c>
      <c r="M60" s="43">
        <v>1.2436261643473223E-2</v>
      </c>
      <c r="N60" s="43">
        <v>1.1015998765780077E-2</v>
      </c>
      <c r="O60" s="43">
        <v>9.4000774835438783E-3</v>
      </c>
      <c r="P60" s="43">
        <v>8.0555952391887509E-3</v>
      </c>
    </row>
    <row r="61" spans="1:16">
      <c r="A61" s="37"/>
      <c r="B61" s="34"/>
      <c r="C61" s="44"/>
      <c r="D61" s="44"/>
      <c r="E61" s="44"/>
      <c r="F61" s="44"/>
      <c r="K61" s="36"/>
      <c r="L61" s="31"/>
      <c r="M61" s="44"/>
      <c r="N61" s="44"/>
      <c r="O61" s="44"/>
      <c r="P61" s="44"/>
    </row>
    <row r="62" spans="1:16">
      <c r="A62" s="35" t="s">
        <v>15</v>
      </c>
      <c r="B62" s="30" t="s">
        <v>7</v>
      </c>
      <c r="C62" s="43">
        <v>1.0503944254947051E-3</v>
      </c>
      <c r="D62" s="43">
        <v>3.9240376360953899E-3</v>
      </c>
      <c r="E62" s="43">
        <v>6.0578129901176503E-3</v>
      </c>
      <c r="F62" s="43">
        <v>8.8619666615730175E-3</v>
      </c>
      <c r="K62" s="36" t="s">
        <v>14</v>
      </c>
      <c r="L62" s="33" t="s">
        <v>9</v>
      </c>
      <c r="M62" s="43">
        <v>9.931949396515094E-3</v>
      </c>
      <c r="N62" s="43">
        <v>7.2704235350067314E-3</v>
      </c>
      <c r="O62" s="43">
        <v>4.345855351324257E-3</v>
      </c>
      <c r="P62" s="43">
        <v>1.1871353020906916E-3</v>
      </c>
    </row>
    <row r="63" spans="1:16">
      <c r="A63" s="36"/>
      <c r="B63" s="31"/>
      <c r="C63" s="44"/>
      <c r="D63" s="44"/>
      <c r="E63" s="44"/>
      <c r="F63" s="44"/>
      <c r="K63" s="37"/>
      <c r="L63" s="34"/>
      <c r="M63" s="44"/>
      <c r="N63" s="44"/>
      <c r="O63" s="44"/>
      <c r="P63" s="44"/>
    </row>
    <row r="64" spans="1:16">
      <c r="A64" s="36" t="s">
        <v>15</v>
      </c>
      <c r="B64" s="32" t="s">
        <v>8</v>
      </c>
      <c r="C64" s="43">
        <v>1.1277767539989103E-2</v>
      </c>
      <c r="D64" s="43">
        <v>1.1248419952228472E-2</v>
      </c>
      <c r="E64" s="43">
        <v>1.0527853260665854E-2</v>
      </c>
      <c r="F64" s="43">
        <v>1.0050824816221215E-2</v>
      </c>
      <c r="K64" s="35" t="s">
        <v>15</v>
      </c>
      <c r="L64" s="30" t="s">
        <v>7</v>
      </c>
      <c r="M64" s="43">
        <v>4.3575855029771571E-3</v>
      </c>
      <c r="N64" s="43">
        <v>6.2946422455119055E-3</v>
      </c>
      <c r="O64" s="43">
        <v>7.5757418684838651E-3</v>
      </c>
      <c r="P64" s="43">
        <v>9.1485525904555498E-3</v>
      </c>
    </row>
    <row r="65" spans="1:16">
      <c r="A65" s="36"/>
      <c r="B65" s="31"/>
      <c r="C65" s="44"/>
      <c r="D65" s="44"/>
      <c r="E65" s="44"/>
      <c r="F65" s="44"/>
      <c r="K65" s="36"/>
      <c r="L65" s="31"/>
      <c r="M65" s="44"/>
      <c r="N65" s="44"/>
      <c r="O65" s="44"/>
      <c r="P65" s="44"/>
    </row>
    <row r="66" spans="1:16">
      <c r="A66" s="36" t="s">
        <v>15</v>
      </c>
      <c r="B66" s="33" t="s">
        <v>9</v>
      </c>
      <c r="C66" s="43">
        <v>1.0248544105912361E-2</v>
      </c>
      <c r="D66" s="43">
        <v>7.4660374979016453E-3</v>
      </c>
      <c r="E66" s="43">
        <v>4.6867357771038787E-3</v>
      </c>
      <c r="F66" s="43">
        <v>1.3090816163550123E-3</v>
      </c>
      <c r="K66" s="36" t="s">
        <v>15</v>
      </c>
      <c r="L66" s="32" t="s">
        <v>8</v>
      </c>
      <c r="M66" s="43">
        <v>9.855158306096401E-3</v>
      </c>
      <c r="N66" s="43">
        <v>9.1948121635061497E-3</v>
      </c>
      <c r="O66" s="43">
        <v>8.0397107025320658E-3</v>
      </c>
      <c r="P66" s="43">
        <v>7.5666142380717005E-3</v>
      </c>
    </row>
    <row r="67" spans="1:16">
      <c r="A67" s="38"/>
      <c r="B67" s="34"/>
      <c r="C67" s="44"/>
      <c r="D67" s="44"/>
      <c r="E67" s="44"/>
      <c r="F67" s="44"/>
      <c r="K67" s="36"/>
      <c r="L67" s="31"/>
      <c r="M67" s="44"/>
      <c r="N67" s="44"/>
      <c r="O67" s="44"/>
      <c r="P67" s="44"/>
    </row>
    <row r="68" spans="1:16">
      <c r="K68" s="36" t="s">
        <v>15</v>
      </c>
      <c r="L68" s="33" t="s">
        <v>9</v>
      </c>
      <c r="M68" s="43">
        <v>5.5451938617947505E-3</v>
      </c>
      <c r="N68" s="43">
        <v>2.9917825456908798E-3</v>
      </c>
      <c r="O68" s="43">
        <v>4.9278139466091275E-4</v>
      </c>
      <c r="P68" s="43">
        <v>-1.7503762637918197E-3</v>
      </c>
    </row>
    <row r="69" spans="1:16">
      <c r="K69" s="38"/>
      <c r="L69" s="34"/>
      <c r="M69" s="44"/>
      <c r="N69" s="44"/>
      <c r="O69" s="44"/>
      <c r="P69" s="44"/>
    </row>
  </sheetData>
  <mergeCells count="62">
    <mergeCell ref="K64:K69"/>
    <mergeCell ref="L64:L65"/>
    <mergeCell ref="L66:L67"/>
    <mergeCell ref="L68:L69"/>
    <mergeCell ref="K52:K57"/>
    <mergeCell ref="L52:L53"/>
    <mergeCell ref="L54:L55"/>
    <mergeCell ref="L56:L57"/>
    <mergeCell ref="K58:K63"/>
    <mergeCell ref="L58:L59"/>
    <mergeCell ref="L60:L61"/>
    <mergeCell ref="L62:L63"/>
    <mergeCell ref="K31:K36"/>
    <mergeCell ref="L31:L32"/>
    <mergeCell ref="L33:L34"/>
    <mergeCell ref="L35:L36"/>
    <mergeCell ref="K37:K42"/>
    <mergeCell ref="L37:L38"/>
    <mergeCell ref="L39:L40"/>
    <mergeCell ref="L41:L42"/>
    <mergeCell ref="A56:A61"/>
    <mergeCell ref="B56:B57"/>
    <mergeCell ref="B58:B59"/>
    <mergeCell ref="B60:B61"/>
    <mergeCell ref="A62:A67"/>
    <mergeCell ref="B62:B63"/>
    <mergeCell ref="B64:B65"/>
    <mergeCell ref="B66:B67"/>
    <mergeCell ref="A44:A49"/>
    <mergeCell ref="B44:B45"/>
    <mergeCell ref="B46:B47"/>
    <mergeCell ref="B48:B49"/>
    <mergeCell ref="A50:A55"/>
    <mergeCell ref="B50:B51"/>
    <mergeCell ref="B52:B53"/>
    <mergeCell ref="B54:B55"/>
    <mergeCell ref="A30:A35"/>
    <mergeCell ref="B30:B31"/>
    <mergeCell ref="B32:B33"/>
    <mergeCell ref="B34:B35"/>
    <mergeCell ref="A36:A41"/>
    <mergeCell ref="B36:B37"/>
    <mergeCell ref="B38:B39"/>
    <mergeCell ref="B40:B41"/>
    <mergeCell ref="A18:A23"/>
    <mergeCell ref="B18:B19"/>
    <mergeCell ref="B20:B21"/>
    <mergeCell ref="B22:B23"/>
    <mergeCell ref="A24:A29"/>
    <mergeCell ref="B24:B25"/>
    <mergeCell ref="B26:B27"/>
    <mergeCell ref="B28:B29"/>
    <mergeCell ref="L25:L26"/>
    <mergeCell ref="L27:L28"/>
    <mergeCell ref="K25:K30"/>
    <mergeCell ref="L29:L30"/>
    <mergeCell ref="K5:K10"/>
    <mergeCell ref="L5:L6"/>
    <mergeCell ref="L7:L8"/>
    <mergeCell ref="L9:L10"/>
    <mergeCell ref="A1:G1"/>
    <mergeCell ref="K3:P3"/>
  </mergeCells>
  <phoneticPr fontId="19" type="noConversion"/>
  <conditionalFormatting sqref="E2">
    <cfRule type="cellIs" dxfId="14" priority="91" operator="lessThan">
      <formula>0</formula>
    </cfRule>
    <cfRule type="cellIs" dxfId="13" priority="92" operator="greaterThan">
      <formula>0</formula>
    </cfRule>
  </conditionalFormatting>
  <conditionalFormatting sqref="G2">
    <cfRule type="cellIs" dxfId="12" priority="90" operator="lessThan">
      <formula>0.05</formula>
    </cfRule>
  </conditionalFormatting>
  <conditionalFormatting sqref="M9:P9 M5:P5 M7:P7">
    <cfRule type="expression" dxfId="11" priority="85">
      <formula>OR(M6&gt;1.96,M6&lt;-1.96)</formula>
    </cfRule>
  </conditionalFormatting>
  <conditionalFormatting sqref="M6:P6 M8:P8 M10:P10">
    <cfRule type="cellIs" dxfId="10" priority="84" operator="between">
      <formula>-1.96</formula>
      <formula>1.96</formula>
    </cfRule>
    <cfRule type="cellIs" dxfId="9" priority="86" operator="notBetween">
      <formula>1.96</formula>
      <formula>-1.96</formula>
    </cfRule>
  </conditionalFormatting>
  <conditionalFormatting sqref="H2:I2">
    <cfRule type="cellIs" dxfId="6" priority="75" operator="lessThan">
      <formula>0</formula>
    </cfRule>
    <cfRule type="cellIs" dxfId="5" priority="76" operator="greaterThan">
      <formula>0</formula>
    </cfRule>
  </conditionalFormatting>
  <conditionalFormatting sqref="H3:I14">
    <cfRule type="cellIs" dxfId="4" priority="28" operator="lessThan">
      <formula>0</formula>
    </cfRule>
    <cfRule type="cellIs" dxfId="3" priority="29" operator="greaterThan">
      <formula>0</formula>
    </cfRule>
  </conditionalFormatting>
  <conditionalFormatting sqref="E3:E14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G3:G14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mv150_10years</vt:lpstr>
      <vt:lpstr>mv150_15years</vt:lpstr>
      <vt:lpstr>priceOver10_10years</vt:lpstr>
      <vt:lpstr>priceOver10_15years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2025-07-14T12:43:58Z</dcterms:created>
  <dcterms:modified xsi:type="dcterms:W3CDTF">2025-07-27T16:11:48Z</dcterms:modified>
</cp:coreProperties>
</file>