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egonia-jan\Desktop\Begonia\myCPU\myData\pythonTool\Momentum\data\analysis\"/>
    </mc:Choice>
  </mc:AlternateContent>
  <bookViews>
    <workbookView xWindow="-120" yWindow="-120" windowWidth="24240" windowHeight="13020" tabRatio="620"/>
  </bookViews>
  <sheets>
    <sheet name="J&amp;T" sheetId="16" r:id="rId1"/>
    <sheet name="mv150_10y" sheetId="1" r:id="rId2"/>
    <sheet name="mv150_10s" sheetId="10" r:id="rId3"/>
    <sheet name="mv150_15y" sheetId="2" r:id="rId4"/>
    <sheet name="mv150_15s" sheetId="11" r:id="rId5"/>
    <sheet name="over10_10y" sheetId="3" r:id="rId6"/>
    <sheet name="over10_10s" sheetId="14" r:id="rId7"/>
    <sheet name="over10_15y" sheetId="8" r:id="rId8"/>
    <sheet name="over10_15s" sheetId="15" r:id="rId9"/>
  </sheets>
  <definedNames>
    <definedName name="_xlnm._FilterDatabase" localSheetId="2" hidden="1">mv150_10s!$A$2:$H$2</definedName>
    <definedName name="_xlnm._FilterDatabase" localSheetId="1" hidden="1">mv150_10y!$A$2:$G$50</definedName>
    <definedName name="_xlnm._FilterDatabase" localSheetId="4" hidden="1">mv150_15s!$A$2:$H$2</definedName>
    <definedName name="_xlnm._FilterDatabase" localSheetId="3" hidden="1">mv150_15y!$A$2:$W$50</definedName>
    <definedName name="_xlnm._FilterDatabase" localSheetId="6" hidden="1">over10_10s!$A$2:$H$2</definedName>
    <definedName name="_xlnm._FilterDatabase" localSheetId="8" hidden="1">over10_15s!$A$2:$H$2</definedName>
    <definedName name="_xlnm._FilterDatabase" localSheetId="7" hidden="1">over10_15y!$A$2:$I$2</definedName>
  </definedNames>
  <calcPr calcId="152511"/>
</workbook>
</file>

<file path=xl/calcChain.xml><?xml version="1.0" encoding="utf-8"?>
<calcChain xmlns="http://schemas.openxmlformats.org/spreadsheetml/2006/main">
  <c r="R35" i="16" l="1"/>
  <c r="Q35" i="16"/>
  <c r="P35" i="16"/>
  <c r="O35" i="16"/>
  <c r="R34" i="16"/>
  <c r="Q34" i="16"/>
  <c r="P34" i="16"/>
  <c r="O34" i="16"/>
  <c r="R33" i="16"/>
  <c r="Q33" i="16"/>
  <c r="P33" i="16"/>
  <c r="O33" i="16"/>
  <c r="R32" i="16"/>
  <c r="Q32" i="16"/>
  <c r="P32" i="16"/>
  <c r="O32" i="16"/>
  <c r="R31" i="16"/>
  <c r="Q31" i="16"/>
  <c r="P31" i="16"/>
  <c r="O31" i="16"/>
  <c r="R30" i="16"/>
  <c r="Q30" i="16"/>
  <c r="P30" i="16"/>
  <c r="O30" i="16"/>
  <c r="O22" i="16"/>
  <c r="N22" i="16"/>
  <c r="O21" i="16"/>
  <c r="N21" i="16"/>
  <c r="O20" i="16"/>
  <c r="N20" i="16"/>
  <c r="O19" i="16"/>
  <c r="N19" i="16"/>
  <c r="O18" i="16"/>
  <c r="N18" i="16"/>
  <c r="O17" i="16"/>
  <c r="N17" i="16"/>
  <c r="Q16" i="16"/>
  <c r="P16" i="16"/>
  <c r="O16" i="16"/>
  <c r="N16" i="16"/>
  <c r="Q15" i="16"/>
  <c r="P15" i="16"/>
  <c r="O15" i="16"/>
  <c r="N15" i="16"/>
  <c r="Q14" i="16"/>
  <c r="P14" i="16"/>
  <c r="O14" i="16"/>
  <c r="N14" i="16"/>
  <c r="Q13" i="16"/>
  <c r="P13" i="16"/>
  <c r="O13" i="16"/>
  <c r="N13" i="16"/>
  <c r="Q12" i="16"/>
  <c r="P12" i="16"/>
  <c r="O12" i="16"/>
  <c r="N12" i="16"/>
  <c r="Q11" i="16"/>
  <c r="P11" i="16"/>
  <c r="O11" i="16"/>
  <c r="N11" i="16"/>
  <c r="Q10" i="16"/>
  <c r="P10" i="16"/>
  <c r="O10" i="16"/>
  <c r="N10" i="16"/>
  <c r="Q9" i="16"/>
  <c r="P9" i="16"/>
  <c r="O9" i="16"/>
  <c r="N9" i="16"/>
  <c r="Q8" i="16"/>
  <c r="P8" i="16"/>
  <c r="O8" i="16"/>
  <c r="N8" i="16"/>
  <c r="Q7" i="16"/>
  <c r="P7" i="16"/>
  <c r="O7" i="16"/>
  <c r="N7" i="16"/>
  <c r="Q6" i="16"/>
  <c r="P6" i="16"/>
  <c r="O6" i="16"/>
  <c r="N6" i="16"/>
  <c r="Q5" i="16"/>
  <c r="P5" i="16"/>
  <c r="O5" i="16"/>
  <c r="N5" i="16"/>
  <c r="N55" i="8" l="1"/>
  <c r="O55" i="8"/>
  <c r="P55" i="8"/>
  <c r="M55" i="8"/>
  <c r="N53" i="8"/>
  <c r="O53" i="8"/>
  <c r="P53" i="8"/>
  <c r="M53" i="8"/>
  <c r="N51" i="8"/>
  <c r="O51" i="8"/>
  <c r="P51" i="8"/>
  <c r="M51" i="8"/>
  <c r="N49" i="8"/>
  <c r="O49" i="8"/>
  <c r="P49" i="8"/>
  <c r="M49" i="8"/>
  <c r="N47" i="8"/>
  <c r="O47" i="8"/>
  <c r="P47" i="8"/>
  <c r="M47" i="8"/>
  <c r="N45" i="8"/>
  <c r="O45" i="8"/>
  <c r="P45" i="8"/>
  <c r="M45" i="8"/>
  <c r="N43" i="8"/>
  <c r="O43" i="8"/>
  <c r="P43" i="8"/>
  <c r="M43" i="8"/>
  <c r="N41" i="8"/>
  <c r="O41" i="8"/>
  <c r="P41" i="8"/>
  <c r="M41" i="8"/>
  <c r="N39" i="8"/>
  <c r="O39" i="8"/>
  <c r="P39" i="8"/>
  <c r="M39" i="8"/>
  <c r="N37" i="8"/>
  <c r="O37" i="8"/>
  <c r="P37" i="8"/>
  <c r="M37" i="8"/>
  <c r="N35" i="8"/>
  <c r="O35" i="8"/>
  <c r="P35" i="8"/>
  <c r="M35" i="8"/>
  <c r="N33" i="8"/>
  <c r="O33" i="8"/>
  <c r="P33" i="8"/>
  <c r="M33" i="8"/>
  <c r="N55" i="3"/>
  <c r="O55" i="3"/>
  <c r="P55" i="3"/>
  <c r="M55" i="3"/>
  <c r="N53" i="3"/>
  <c r="O53" i="3"/>
  <c r="P53" i="3"/>
  <c r="M53" i="3"/>
  <c r="N51" i="3"/>
  <c r="O51" i="3"/>
  <c r="P51" i="3"/>
  <c r="M51" i="3"/>
  <c r="N49" i="3"/>
  <c r="O49" i="3"/>
  <c r="P49" i="3"/>
  <c r="M49" i="3"/>
  <c r="N47" i="3"/>
  <c r="O47" i="3"/>
  <c r="P47" i="3"/>
  <c r="M47" i="3"/>
  <c r="N45" i="3"/>
  <c r="O45" i="3"/>
  <c r="P45" i="3"/>
  <c r="M45" i="3"/>
  <c r="N43" i="3"/>
  <c r="O43" i="3"/>
  <c r="P43" i="3"/>
  <c r="M43" i="3"/>
  <c r="N41" i="3"/>
  <c r="O41" i="3"/>
  <c r="P41" i="3"/>
  <c r="M41" i="3"/>
  <c r="N39" i="3"/>
  <c r="O39" i="3"/>
  <c r="P39" i="3"/>
  <c r="M39" i="3"/>
  <c r="N37" i="3"/>
  <c r="O37" i="3"/>
  <c r="P37" i="3"/>
  <c r="M37" i="3"/>
  <c r="N35" i="3"/>
  <c r="O35" i="3"/>
  <c r="P35" i="3"/>
  <c r="M35" i="3"/>
  <c r="N33" i="3"/>
  <c r="O33" i="3"/>
  <c r="P33" i="3"/>
  <c r="M33" i="3"/>
  <c r="I50" i="8"/>
  <c r="H50" i="8"/>
  <c r="I49" i="8"/>
  <c r="H49" i="8"/>
  <c r="I48" i="8"/>
  <c r="H48" i="8"/>
  <c r="I47" i="8"/>
  <c r="H47" i="8"/>
  <c r="I46" i="8"/>
  <c r="H46" i="8"/>
  <c r="I45" i="8"/>
  <c r="H45" i="8"/>
  <c r="I44" i="8"/>
  <c r="H44" i="8"/>
  <c r="I43" i="8"/>
  <c r="H43" i="8"/>
  <c r="I42" i="8"/>
  <c r="H42" i="8"/>
  <c r="I41" i="8"/>
  <c r="H41" i="8"/>
  <c r="I40" i="8"/>
  <c r="H40" i="8"/>
  <c r="I39" i="8"/>
  <c r="H39" i="8"/>
  <c r="I38" i="8"/>
  <c r="H38" i="8"/>
  <c r="I37" i="8"/>
  <c r="H37" i="8"/>
  <c r="I36" i="8"/>
  <c r="H36" i="8"/>
  <c r="I35" i="8"/>
  <c r="H35" i="8"/>
  <c r="I34" i="8"/>
  <c r="H34" i="8"/>
  <c r="I33" i="8"/>
  <c r="H33" i="8"/>
  <c r="I32" i="8"/>
  <c r="H32" i="8"/>
  <c r="I31" i="8"/>
  <c r="H31" i="8"/>
  <c r="I30" i="8"/>
  <c r="H30" i="8"/>
  <c r="I29" i="8"/>
  <c r="H29" i="8"/>
  <c r="I28" i="8"/>
  <c r="H28" i="8"/>
  <c r="I27" i="8"/>
  <c r="H27" i="8"/>
  <c r="I26" i="8"/>
  <c r="H26" i="8"/>
  <c r="I25" i="8"/>
  <c r="H25" i="8"/>
  <c r="I24" i="8"/>
  <c r="H24" i="8"/>
  <c r="I23" i="8"/>
  <c r="H23" i="8"/>
  <c r="I22" i="8"/>
  <c r="H22" i="8"/>
  <c r="I21" i="8"/>
  <c r="H21" i="8"/>
  <c r="I20" i="8"/>
  <c r="H20" i="8"/>
  <c r="I19" i="8"/>
  <c r="H19" i="8"/>
  <c r="I18" i="8"/>
  <c r="H18" i="8"/>
  <c r="I17" i="8"/>
  <c r="H17" i="8"/>
  <c r="I16" i="8"/>
  <c r="H16" i="8"/>
  <c r="I15" i="8"/>
  <c r="H15" i="8"/>
  <c r="I14" i="8"/>
  <c r="H14" i="8"/>
  <c r="I13" i="8"/>
  <c r="H13" i="8"/>
  <c r="I12" i="8"/>
  <c r="H12" i="8"/>
  <c r="I11" i="8"/>
  <c r="H11" i="8"/>
  <c r="I10" i="8"/>
  <c r="H10" i="8"/>
  <c r="I9" i="8"/>
  <c r="H9" i="8"/>
  <c r="I8" i="8"/>
  <c r="H8" i="8"/>
  <c r="I7" i="8"/>
  <c r="H7" i="8"/>
  <c r="I6" i="8"/>
  <c r="H6" i="8"/>
  <c r="I5" i="8"/>
  <c r="H5" i="8"/>
  <c r="I4" i="8"/>
  <c r="H4" i="8"/>
  <c r="I3" i="8"/>
  <c r="H3" i="8"/>
  <c r="N55" i="2"/>
  <c r="O55" i="2"/>
  <c r="P55" i="2"/>
  <c r="M55" i="2"/>
  <c r="N53" i="2"/>
  <c r="O53" i="2"/>
  <c r="P53" i="2"/>
  <c r="M53" i="2"/>
  <c r="N51" i="2"/>
  <c r="O51" i="2"/>
  <c r="P51" i="2"/>
  <c r="M51" i="2"/>
  <c r="N49" i="2"/>
  <c r="O49" i="2"/>
  <c r="P49" i="2"/>
  <c r="M49" i="2"/>
  <c r="N47" i="2"/>
  <c r="O47" i="2"/>
  <c r="P47" i="2"/>
  <c r="M47" i="2"/>
  <c r="N45" i="2"/>
  <c r="O45" i="2"/>
  <c r="P45" i="2"/>
  <c r="M45" i="2"/>
  <c r="N43" i="2"/>
  <c r="O43" i="2"/>
  <c r="P43" i="2"/>
  <c r="M43" i="2"/>
  <c r="N41" i="2"/>
  <c r="O41" i="2"/>
  <c r="P41" i="2"/>
  <c r="M41" i="2"/>
  <c r="N39" i="2"/>
  <c r="O39" i="2"/>
  <c r="P39" i="2"/>
  <c r="M39" i="2"/>
  <c r="N37" i="2"/>
  <c r="O37" i="2"/>
  <c r="P37" i="2"/>
  <c r="M37" i="2"/>
  <c r="N35" i="2"/>
  <c r="O35" i="2"/>
  <c r="P35" i="2"/>
  <c r="M35" i="2"/>
  <c r="N33" i="2"/>
  <c r="O33" i="2"/>
  <c r="P33" i="2"/>
  <c r="M33" i="2"/>
  <c r="I50" i="2"/>
  <c r="H50" i="2"/>
  <c r="I49" i="2"/>
  <c r="H49" i="2"/>
  <c r="I48" i="2"/>
  <c r="H48" i="2"/>
  <c r="I47" i="2"/>
  <c r="H47" i="2"/>
  <c r="I46" i="2"/>
  <c r="H46" i="2"/>
  <c r="I45" i="2"/>
  <c r="H45" i="2"/>
  <c r="I44" i="2"/>
  <c r="H44" i="2"/>
  <c r="I43" i="2"/>
  <c r="H43" i="2"/>
  <c r="I42" i="2"/>
  <c r="H42" i="2"/>
  <c r="I41" i="2"/>
  <c r="H41" i="2"/>
  <c r="I40" i="2"/>
  <c r="H40" i="2"/>
  <c r="I39" i="2"/>
  <c r="H39" i="2"/>
  <c r="I38" i="2"/>
  <c r="H38" i="2"/>
  <c r="I37" i="2"/>
  <c r="H37" i="2"/>
  <c r="I36" i="2"/>
  <c r="H36" i="2"/>
  <c r="I35" i="2"/>
  <c r="H35" i="2"/>
  <c r="I34" i="2"/>
  <c r="H34" i="2"/>
  <c r="I33" i="2"/>
  <c r="H33" i="2"/>
  <c r="I32" i="2"/>
  <c r="H32" i="2"/>
  <c r="I31" i="2"/>
  <c r="H31" i="2"/>
  <c r="I30" i="2"/>
  <c r="H30" i="2"/>
  <c r="I29" i="2"/>
  <c r="H29" i="2"/>
  <c r="I28" i="2"/>
  <c r="H28" i="2"/>
  <c r="I27" i="2"/>
  <c r="H27" i="2"/>
  <c r="I26" i="2"/>
  <c r="H26" i="2"/>
  <c r="I25" i="2"/>
  <c r="H25" i="2"/>
  <c r="I24" i="2"/>
  <c r="H24" i="2"/>
  <c r="I23" i="2"/>
  <c r="H23" i="2"/>
  <c r="I22" i="2"/>
  <c r="H22" i="2"/>
  <c r="I21" i="2"/>
  <c r="H21" i="2"/>
  <c r="I20" i="2"/>
  <c r="H20" i="2"/>
  <c r="I19" i="2"/>
  <c r="H19" i="2"/>
  <c r="I18" i="2"/>
  <c r="H18" i="2"/>
  <c r="I17" i="2"/>
  <c r="H17" i="2"/>
  <c r="I16" i="2"/>
  <c r="H16" i="2"/>
  <c r="I15" i="2"/>
  <c r="H15" i="2"/>
  <c r="I14" i="2"/>
  <c r="H14" i="2"/>
  <c r="I13" i="2"/>
  <c r="H13" i="2"/>
  <c r="I12" i="2"/>
  <c r="H12" i="2"/>
  <c r="I11" i="2"/>
  <c r="H11" i="2"/>
  <c r="I10" i="2"/>
  <c r="H10" i="2"/>
  <c r="I9" i="2"/>
  <c r="H9" i="2"/>
  <c r="I8" i="2"/>
  <c r="H8" i="2"/>
  <c r="I7" i="2"/>
  <c r="H7" i="2"/>
  <c r="I6" i="2"/>
  <c r="H6" i="2"/>
  <c r="I5" i="2"/>
  <c r="H5" i="2"/>
  <c r="I4" i="2"/>
  <c r="H4" i="2"/>
  <c r="I3" i="2"/>
  <c r="H3" i="2"/>
  <c r="I50" i="1"/>
  <c r="H50" i="1"/>
  <c r="I49" i="1"/>
  <c r="H49" i="1"/>
  <c r="I48" i="1"/>
  <c r="H48" i="1"/>
  <c r="I47" i="1"/>
  <c r="H47" i="1"/>
  <c r="I46" i="1"/>
  <c r="H46" i="1"/>
  <c r="I45" i="1"/>
  <c r="H45" i="1"/>
  <c r="I44" i="1"/>
  <c r="H44" i="1"/>
  <c r="I43" i="1"/>
  <c r="H43" i="1"/>
  <c r="I42" i="1"/>
  <c r="H42" i="1"/>
  <c r="I41" i="1"/>
  <c r="H41" i="1"/>
  <c r="I40" i="1"/>
  <c r="H40" i="1"/>
  <c r="I39" i="1"/>
  <c r="H39" i="1"/>
  <c r="I38" i="1"/>
  <c r="H38" i="1"/>
  <c r="I37" i="1"/>
  <c r="H37" i="1"/>
  <c r="I36" i="1"/>
  <c r="H36" i="1"/>
  <c r="I35" i="1"/>
  <c r="H35" i="1"/>
  <c r="I34" i="1"/>
  <c r="H34" i="1"/>
  <c r="I33" i="1"/>
  <c r="H33" i="1"/>
  <c r="I32" i="1"/>
  <c r="H32" i="1"/>
  <c r="I31" i="1"/>
  <c r="H31" i="1"/>
  <c r="I30" i="1"/>
  <c r="H30" i="1"/>
  <c r="I29" i="1"/>
  <c r="H29" i="1"/>
  <c r="I28" i="1"/>
  <c r="H28" i="1"/>
  <c r="I27" i="1"/>
  <c r="H27" i="1"/>
  <c r="I26" i="1"/>
  <c r="H26" i="1"/>
  <c r="I25" i="1"/>
  <c r="H25" i="1"/>
  <c r="I24" i="1"/>
  <c r="H24" i="1"/>
  <c r="I23" i="1"/>
  <c r="H23" i="1"/>
  <c r="I22" i="1"/>
  <c r="H22" i="1"/>
  <c r="I21" i="1"/>
  <c r="H21" i="1"/>
  <c r="I20" i="1"/>
  <c r="H20" i="1"/>
  <c r="I19" i="1"/>
  <c r="H19" i="1"/>
  <c r="I18" i="1"/>
  <c r="H18" i="1"/>
  <c r="I17" i="1"/>
  <c r="H17" i="1"/>
  <c r="I16" i="1"/>
  <c r="H16" i="1"/>
  <c r="I15" i="1"/>
  <c r="H15" i="1"/>
  <c r="I14" i="1"/>
  <c r="H14" i="1"/>
  <c r="I13" i="1"/>
  <c r="H13" i="1"/>
  <c r="I12" i="1"/>
  <c r="H12" i="1"/>
  <c r="I11" i="1"/>
  <c r="H11" i="1"/>
  <c r="I10" i="1"/>
  <c r="H10" i="1"/>
  <c r="I9" i="1"/>
  <c r="H9" i="1"/>
  <c r="I8" i="1"/>
  <c r="H8" i="1"/>
  <c r="I7" i="1"/>
  <c r="H7" i="1"/>
  <c r="I6" i="1"/>
  <c r="H6" i="1"/>
  <c r="I5" i="1"/>
  <c r="H5" i="1"/>
  <c r="I4" i="1"/>
  <c r="H4" i="1"/>
  <c r="I3" i="1"/>
  <c r="H3" i="1"/>
  <c r="N55" i="1"/>
  <c r="O55" i="1"/>
  <c r="P55" i="1"/>
  <c r="M55" i="1"/>
  <c r="N53" i="1"/>
  <c r="O53" i="1"/>
  <c r="P53" i="1"/>
  <c r="M53" i="1"/>
  <c r="N51" i="1"/>
  <c r="O51" i="1"/>
  <c r="P51" i="1"/>
  <c r="M51" i="1"/>
  <c r="N49" i="1"/>
  <c r="O49" i="1"/>
  <c r="P49" i="1"/>
  <c r="M49" i="1"/>
  <c r="N47" i="1"/>
  <c r="O47" i="1"/>
  <c r="P47" i="1"/>
  <c r="M47" i="1"/>
  <c r="N45" i="1"/>
  <c r="O45" i="1"/>
  <c r="P45" i="1"/>
  <c r="M45" i="1"/>
  <c r="N43" i="1"/>
  <c r="O43" i="1"/>
  <c r="P43" i="1"/>
  <c r="M43" i="1"/>
  <c r="N41" i="1"/>
  <c r="O41" i="1"/>
  <c r="P41" i="1"/>
  <c r="M41" i="1"/>
  <c r="N39" i="1"/>
  <c r="O39" i="1"/>
  <c r="P39" i="1"/>
  <c r="M39" i="1"/>
  <c r="N37" i="1"/>
  <c r="O37" i="1"/>
  <c r="P37" i="1"/>
  <c r="M37" i="1"/>
  <c r="N35" i="1"/>
  <c r="O35" i="1"/>
  <c r="P35" i="1"/>
  <c r="M35" i="1"/>
  <c r="N33" i="1"/>
  <c r="O33" i="1"/>
  <c r="P33" i="1"/>
  <c r="M33" i="1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</calcChain>
</file>

<file path=xl/sharedStrings.xml><?xml version="1.0" encoding="utf-8"?>
<sst xmlns="http://schemas.openxmlformats.org/spreadsheetml/2006/main" count="1482" uniqueCount="50">
  <si>
    <t>remark</t>
  </si>
  <si>
    <t>n</t>
  </si>
  <si>
    <t>mean</t>
  </si>
  <si>
    <t>t_stat</t>
  </si>
  <si>
    <t>p_value</t>
  </si>
  <si>
    <t>oPeriod</t>
  </si>
  <si>
    <t>hPeriod</t>
  </si>
  <si>
    <t>loser</t>
  </si>
  <si>
    <t>winner</t>
  </si>
  <si>
    <t>winner - loser</t>
  </si>
  <si>
    <t xml:space="preserve">K = </t>
    <phoneticPr fontId="19" type="noConversion"/>
  </si>
  <si>
    <t>J =</t>
    <phoneticPr fontId="19" type="noConversion"/>
  </si>
  <si>
    <t>3</t>
  </si>
  <si>
    <t>6</t>
  </si>
  <si>
    <t>9</t>
  </si>
  <si>
    <t>12</t>
  </si>
  <si>
    <t>J=</t>
    <phoneticPr fontId="19" type="noConversion"/>
  </si>
  <si>
    <t>K=</t>
    <phoneticPr fontId="19" type="noConversion"/>
  </si>
  <si>
    <t>Panel A：over10，2010~2019</t>
    <phoneticPr fontId="19" type="noConversion"/>
  </si>
  <si>
    <t>Panel A：over10，2010~2024</t>
    <phoneticPr fontId="19" type="noConversion"/>
  </si>
  <si>
    <t>Panel A：mv150，2010~2024</t>
    <phoneticPr fontId="19" type="noConversion"/>
  </si>
  <si>
    <t>avg_monthly</t>
    <phoneticPr fontId="19" type="noConversion"/>
  </si>
  <si>
    <t>annualized</t>
    <phoneticPr fontId="19" type="noConversion"/>
  </si>
  <si>
    <t>Panel A；mv150，2010~2019 (avg_monthly)</t>
    <phoneticPr fontId="19" type="noConversion"/>
  </si>
  <si>
    <t>Panel A：mv150，2010~2024 (avg_monthly)</t>
    <phoneticPr fontId="19" type="noConversion"/>
  </si>
  <si>
    <t>Panel A：over10，2010~2019 (avg_monthly)</t>
    <phoneticPr fontId="19" type="noConversion"/>
  </si>
  <si>
    <t>Panel A：over10，2010~2024 (avg_monthly)</t>
    <phoneticPr fontId="19" type="noConversion"/>
  </si>
  <si>
    <t>Panel A：mv150，2010~2019</t>
    <phoneticPr fontId="19" type="noConversion"/>
  </si>
  <si>
    <t>A</t>
    <phoneticPr fontId="19" type="noConversion"/>
  </si>
  <si>
    <t>panel</t>
    <phoneticPr fontId="19" type="noConversion"/>
  </si>
  <si>
    <t>mv150，2010~2019</t>
    <phoneticPr fontId="19" type="noConversion"/>
  </si>
  <si>
    <t>B</t>
    <phoneticPr fontId="19" type="noConversion"/>
  </si>
  <si>
    <t>mv150，2010~2019</t>
    <phoneticPr fontId="19" type="noConversion"/>
  </si>
  <si>
    <t>Panel A</t>
    <phoneticPr fontId="19" type="noConversion"/>
  </si>
  <si>
    <t>Panel B</t>
    <phoneticPr fontId="19" type="noConversion"/>
  </si>
  <si>
    <t>mv150，2010~2024</t>
    <phoneticPr fontId="19" type="noConversion"/>
  </si>
  <si>
    <t>mv150，2010~2024</t>
    <phoneticPr fontId="19" type="noConversion"/>
  </si>
  <si>
    <t>over10，2010~2019</t>
    <phoneticPr fontId="19" type="noConversion"/>
  </si>
  <si>
    <t>over10，2010~2019</t>
    <phoneticPr fontId="19" type="noConversion"/>
  </si>
  <si>
    <t>over10，2010~2024</t>
    <phoneticPr fontId="19" type="noConversion"/>
  </si>
  <si>
    <t>over10，2010~2024</t>
    <phoneticPr fontId="19" type="noConversion"/>
  </si>
  <si>
    <t>NYSE &amp; AMEX 1965~1989</t>
    <phoneticPr fontId="19" type="noConversion"/>
  </si>
  <si>
    <t>NYSE &amp; AMEX 1965~1989</t>
    <phoneticPr fontId="19" type="noConversion"/>
  </si>
  <si>
    <t>J</t>
    <phoneticPr fontId="19" type="noConversion"/>
  </si>
  <si>
    <t>K</t>
    <phoneticPr fontId="19" type="noConversion"/>
  </si>
  <si>
    <t>J</t>
    <phoneticPr fontId="19" type="noConversion"/>
  </si>
  <si>
    <t>K</t>
    <phoneticPr fontId="19" type="noConversion"/>
  </si>
  <si>
    <t>Panel A</t>
    <phoneticPr fontId="19" type="noConversion"/>
  </si>
  <si>
    <t>Panel B</t>
    <phoneticPr fontId="19" type="noConversion"/>
  </si>
  <si>
    <t>J=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</si>
</sst>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00"/>
    <numFmt numFmtId="177" formatCode="\(0.00\);\(\-0.00\)"/>
    <numFmt numFmtId="178" formatCode="0.0000%"/>
    <numFmt numFmtId="179" formatCode="0.00000"/>
  </numFmts>
  <fonts count="26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0" tint="-0.3499862666707357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u/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scheme val="minor"/>
    </font>
    <font>
      <b/>
      <sz val="12"/>
      <name val="新細明體"/>
      <family val="1"/>
      <charset val="136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/>
      <bottom style="thin">
        <color theme="0" tint="-0.499984740745262"/>
      </bottom>
      <diagonal/>
    </border>
    <border>
      <left/>
      <right style="thin">
        <color theme="2" tint="-0.499984740745262"/>
      </right>
      <top/>
      <bottom style="medium">
        <color theme="0" tint="-0.499984740745262"/>
      </bottom>
      <diagonal/>
    </border>
    <border>
      <left/>
      <right style="thin">
        <color theme="2" tint="-0.499984740745262"/>
      </right>
      <top style="medium">
        <color theme="0" tint="-0.499984740745262"/>
      </top>
      <bottom/>
      <diagonal/>
    </border>
    <border>
      <left/>
      <right style="thin">
        <color theme="2" tint="-0.499984740745262"/>
      </right>
      <top/>
      <bottom style="dashDotDot">
        <color theme="2" tint="-0.499984740745262"/>
      </bottom>
      <diagonal/>
    </border>
    <border>
      <left/>
      <right style="thin">
        <color theme="2" tint="-0.499984740745262"/>
      </right>
      <top style="dashDotDot">
        <color theme="2" tint="-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2" tint="-0.499984740745262"/>
      </right>
      <top style="thin">
        <color theme="0" tint="-0.499984740745262"/>
      </top>
      <bottom/>
      <diagonal/>
    </border>
    <border>
      <left/>
      <right style="thin">
        <color indexed="64"/>
      </right>
      <top/>
      <bottom style="dashDotDot">
        <color theme="2" tint="-0.499984740745262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2" tint="-0.499984740745262"/>
      </bottom>
      <diagonal/>
    </border>
    <border>
      <left/>
      <right/>
      <top style="thin">
        <color indexed="64"/>
      </top>
      <bottom style="thin">
        <color theme="2" tint="-0.499984740745262"/>
      </bottom>
      <diagonal/>
    </border>
    <border>
      <left/>
      <right style="thin">
        <color indexed="64"/>
      </right>
      <top style="thin">
        <color indexed="64"/>
      </top>
      <bottom style="thin">
        <color theme="2" tint="-0.499984740745262"/>
      </bottom>
      <diagonal/>
    </border>
    <border>
      <left style="thin">
        <color indexed="64"/>
      </left>
      <right/>
      <top/>
      <bottom style="medium">
        <color theme="0" tint="-0.499984740745262"/>
      </bottom>
      <diagonal/>
    </border>
    <border>
      <left/>
      <right style="thin">
        <color indexed="64"/>
      </right>
      <top/>
      <bottom style="medium">
        <color theme="0" tint="-0.499984740745262"/>
      </bottom>
      <diagonal/>
    </border>
    <border>
      <left style="thin">
        <color indexed="64"/>
      </left>
      <right/>
      <top style="medium">
        <color theme="0" tint="-0.499984740745262"/>
      </top>
      <bottom/>
      <diagonal/>
    </border>
    <border>
      <left style="thin">
        <color indexed="64"/>
      </left>
      <right/>
      <top/>
      <bottom style="thin">
        <color theme="0" tint="-0.499984740745262"/>
      </bottom>
      <diagonal/>
    </border>
    <border>
      <left/>
      <right style="thin">
        <color indexed="64"/>
      </right>
      <top/>
      <bottom style="thin">
        <color theme="0" tint="-0.499984740745262"/>
      </bottom>
      <diagonal/>
    </border>
    <border>
      <left style="thin">
        <color indexed="64"/>
      </left>
      <right/>
      <top style="thin">
        <color theme="0" tint="-0.499984740745262"/>
      </top>
      <bottom/>
      <diagonal/>
    </border>
    <border>
      <left/>
      <right style="thin">
        <color theme="2" tint="-0.499984740745262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indexed="64"/>
      </top>
      <bottom style="thin">
        <color theme="0" tint="-0.499984740745262"/>
      </bottom>
      <diagonal/>
    </border>
    <border>
      <left style="thin">
        <color indexed="64"/>
      </left>
      <right style="thin">
        <color theme="0" tint="-0.499984740745262"/>
      </right>
      <top style="thin">
        <color indexed="64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indexed="64"/>
      </right>
      <top style="thin">
        <color indexed="64"/>
      </top>
      <bottom style="thin">
        <color theme="0" tint="-0.499984740745262"/>
      </bottom>
      <diagonal/>
    </border>
  </borders>
  <cellStyleXfs count="44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4" fillId="0" borderId="0"/>
  </cellStyleXfs>
  <cellXfs count="109">
    <xf numFmtId="0" fontId="0" fillId="0" borderId="0" xfId="0">
      <alignment vertical="center"/>
    </xf>
    <xf numFmtId="0" fontId="18" fillId="0" borderId="0" xfId="0" applyFont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  <xf numFmtId="10" fontId="18" fillId="33" borderId="10" xfId="1" applyNumberFormat="1" applyFont="1" applyFill="1" applyBorder="1" applyAlignment="1">
      <alignment horizontal="center" vertical="center"/>
    </xf>
    <xf numFmtId="0" fontId="18" fillId="34" borderId="10" xfId="0" applyFont="1" applyFill="1" applyBorder="1" applyAlignment="1">
      <alignment horizontal="center" vertical="center"/>
    </xf>
    <xf numFmtId="0" fontId="20" fillId="34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76" fontId="20" fillId="34" borderId="10" xfId="0" applyNumberFormat="1" applyFont="1" applyFill="1" applyBorder="1" applyAlignment="1">
      <alignment horizontal="center" vertical="center"/>
    </xf>
    <xf numFmtId="176" fontId="20" fillId="0" borderId="10" xfId="0" applyNumberFormat="1" applyFont="1" applyBorder="1" applyAlignment="1">
      <alignment horizontal="center" vertical="center"/>
    </xf>
    <xf numFmtId="10" fontId="20" fillId="34" borderId="10" xfId="1" applyNumberFormat="1" applyFont="1" applyFill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0" fontId="20" fillId="0" borderId="0" xfId="1" applyNumberFormat="1" applyFont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6" fontId="21" fillId="0" borderId="0" xfId="0" applyNumberFormat="1" applyFont="1" applyAlignment="1">
      <alignment horizontal="center" vertical="center"/>
    </xf>
    <xf numFmtId="10" fontId="14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10" fontId="22" fillId="0" borderId="0" xfId="0" applyNumberFormat="1" applyFont="1" applyAlignment="1">
      <alignment horizontal="center" vertical="center"/>
    </xf>
    <xf numFmtId="177" fontId="22" fillId="0" borderId="13" xfId="0" applyNumberFormat="1" applyFont="1" applyBorder="1" applyAlignment="1">
      <alignment horizontal="center" vertical="center"/>
    </xf>
    <xf numFmtId="177" fontId="22" fillId="0" borderId="12" xfId="0" applyNumberFormat="1" applyFont="1" applyBorder="1" applyAlignment="1">
      <alignment horizontal="center" vertical="center"/>
    </xf>
    <xf numFmtId="0" fontId="23" fillId="0" borderId="0" xfId="0" applyFont="1">
      <alignment vertical="center"/>
    </xf>
    <xf numFmtId="0" fontId="18" fillId="0" borderId="15" xfId="0" applyFont="1" applyBorder="1" applyAlignment="1">
      <alignment horizontal="right" vertical="center"/>
    </xf>
    <xf numFmtId="0" fontId="18" fillId="0" borderId="11" xfId="0" applyFont="1" applyBorder="1" applyAlignment="1">
      <alignment horizontal="center" vertical="center"/>
    </xf>
    <xf numFmtId="177" fontId="22" fillId="0" borderId="21" xfId="0" applyNumberFormat="1" applyFont="1" applyBorder="1" applyAlignment="1">
      <alignment horizontal="center" vertical="center"/>
    </xf>
    <xf numFmtId="10" fontId="22" fillId="0" borderId="23" xfId="0" applyNumberFormat="1" applyFont="1" applyBorder="1" applyAlignment="1">
      <alignment horizontal="center" vertical="center"/>
    </xf>
    <xf numFmtId="177" fontId="22" fillId="0" borderId="25" xfId="0" applyNumberFormat="1" applyFont="1" applyBorder="1" applyAlignment="1">
      <alignment horizontal="center" vertical="center"/>
    </xf>
    <xf numFmtId="177" fontId="22" fillId="0" borderId="26" xfId="0" applyNumberFormat="1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177" fontId="22" fillId="0" borderId="3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8" fontId="22" fillId="0" borderId="0" xfId="0" applyNumberFormat="1" applyFont="1" applyAlignment="1">
      <alignment horizontal="center" vertical="center"/>
    </xf>
    <xf numFmtId="178" fontId="22" fillId="0" borderId="23" xfId="0" applyNumberFormat="1" applyFont="1" applyBorder="1" applyAlignment="1">
      <alignment horizontal="center" vertical="center"/>
    </xf>
    <xf numFmtId="0" fontId="18" fillId="0" borderId="27" xfId="0" applyFont="1" applyBorder="1" applyAlignment="1">
      <alignment vertical="center"/>
    </xf>
    <xf numFmtId="0" fontId="18" fillId="0" borderId="28" xfId="0" applyFont="1" applyBorder="1" applyAlignment="1">
      <alignment vertical="center"/>
    </xf>
    <xf numFmtId="0" fontId="25" fillId="33" borderId="10" xfId="0" applyFont="1" applyFill="1" applyBorder="1" applyAlignment="1">
      <alignment horizontal="center" vertical="center"/>
    </xf>
    <xf numFmtId="10" fontId="25" fillId="33" borderId="10" xfId="1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0" fontId="22" fillId="0" borderId="0" xfId="1" applyNumberFormat="1" applyFont="1" applyAlignment="1">
      <alignment horizontal="center" vertical="center"/>
    </xf>
    <xf numFmtId="176" fontId="22" fillId="0" borderId="0" xfId="0" applyNumberFormat="1" applyFont="1" applyAlignment="1">
      <alignment horizontal="center" vertical="center"/>
    </xf>
    <xf numFmtId="179" fontId="2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0" fontId="25" fillId="0" borderId="0" xfId="1" applyNumberFormat="1" applyFont="1" applyAlignment="1">
      <alignment horizontal="center" vertical="center"/>
    </xf>
    <xf numFmtId="176" fontId="25" fillId="0" borderId="0" xfId="0" applyNumberFormat="1" applyFont="1" applyAlignment="1">
      <alignment horizontal="center" vertical="center"/>
    </xf>
    <xf numFmtId="179" fontId="25" fillId="0" borderId="0" xfId="0" applyNumberFormat="1" applyFont="1" applyAlignment="1">
      <alignment horizontal="center" vertical="center"/>
    </xf>
    <xf numFmtId="0" fontId="22" fillId="0" borderId="0" xfId="0" applyFont="1">
      <alignment vertical="center"/>
    </xf>
    <xf numFmtId="0" fontId="22" fillId="36" borderId="0" xfId="0" applyFont="1" applyFill="1" applyAlignment="1">
      <alignment horizontal="center" vertical="center"/>
    </xf>
    <xf numFmtId="0" fontId="22" fillId="37" borderId="0" xfId="0" applyFont="1" applyFill="1" applyAlignment="1">
      <alignment horizontal="center" vertical="center"/>
    </xf>
    <xf numFmtId="0" fontId="22" fillId="0" borderId="13" xfId="0" applyNumberFormat="1" applyFont="1" applyBorder="1" applyAlignment="1">
      <alignment horizontal="center" vertical="center"/>
    </xf>
    <xf numFmtId="0" fontId="22" fillId="0" borderId="21" xfId="0" applyNumberFormat="1" applyFont="1" applyBorder="1" applyAlignment="1">
      <alignment horizontal="center" vertical="center"/>
    </xf>
    <xf numFmtId="0" fontId="22" fillId="0" borderId="12" xfId="0" applyNumberFormat="1" applyFont="1" applyBorder="1" applyAlignment="1">
      <alignment horizontal="center" vertical="center"/>
    </xf>
    <xf numFmtId="0" fontId="22" fillId="0" borderId="34" xfId="0" applyNumberFormat="1" applyFont="1" applyBorder="1" applyAlignment="1">
      <alignment horizontal="center" vertical="center"/>
    </xf>
    <xf numFmtId="0" fontId="22" fillId="0" borderId="25" xfId="0" applyNumberFormat="1" applyFont="1" applyBorder="1" applyAlignment="1">
      <alignment horizontal="center" vertical="center"/>
    </xf>
    <xf numFmtId="0" fontId="22" fillId="0" borderId="26" xfId="0" applyNumberFormat="1" applyFont="1" applyBorder="1" applyAlignment="1">
      <alignment horizontal="center" vertical="center"/>
    </xf>
    <xf numFmtId="0" fontId="18" fillId="0" borderId="11" xfId="0" applyNumberFormat="1" applyFont="1" applyBorder="1" applyAlignment="1">
      <alignment horizontal="center" vertical="center"/>
    </xf>
    <xf numFmtId="0" fontId="18" fillId="0" borderId="31" xfId="0" applyNumberFormat="1" applyFont="1" applyBorder="1" applyAlignment="1">
      <alignment horizontal="center" vertical="center"/>
    </xf>
    <xf numFmtId="177" fontId="0" fillId="0" borderId="0" xfId="0" applyNumberFormat="1">
      <alignment vertical="center"/>
    </xf>
    <xf numFmtId="10" fontId="22" fillId="0" borderId="0" xfId="0" applyNumberFormat="1" applyFont="1" applyBorder="1" applyAlignment="1">
      <alignment horizontal="center" vertical="center"/>
    </xf>
    <xf numFmtId="10" fontId="22" fillId="0" borderId="0" xfId="1" applyNumberFormat="1" applyFont="1" applyBorder="1" applyAlignment="1">
      <alignment horizontal="center" vertical="center"/>
    </xf>
    <xf numFmtId="10" fontId="22" fillId="0" borderId="23" xfId="1" applyNumberFormat="1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20" fillId="0" borderId="20" xfId="0" applyFont="1" applyBorder="1" applyAlignment="1">
      <alignment horizontal="center" vertical="center"/>
    </xf>
    <xf numFmtId="0" fontId="20" fillId="0" borderId="17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35" borderId="12" xfId="0" applyFont="1" applyFill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8" fillId="0" borderId="32" xfId="0" applyNumberFormat="1" applyFont="1" applyBorder="1" applyAlignment="1">
      <alignment horizontal="center" vertical="center"/>
    </xf>
    <xf numFmtId="0" fontId="18" fillId="0" borderId="22" xfId="0" applyNumberFormat="1" applyFont="1" applyBorder="1" applyAlignment="1">
      <alignment horizontal="center" vertical="center"/>
    </xf>
    <xf numFmtId="0" fontId="25" fillId="35" borderId="12" xfId="0" applyFont="1" applyFill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0" fontId="18" fillId="37" borderId="27" xfId="0" applyFont="1" applyFill="1" applyBorder="1" applyAlignment="1">
      <alignment horizontal="center" vertical="center"/>
    </xf>
    <xf numFmtId="0" fontId="18" fillId="37" borderId="28" xfId="0" applyFont="1" applyFill="1" applyBorder="1" applyAlignment="1">
      <alignment horizontal="center" vertical="center"/>
    </xf>
    <xf numFmtId="0" fontId="18" fillId="37" borderId="29" xfId="0" applyFont="1" applyFill="1" applyBorder="1" applyAlignment="1">
      <alignment horizontal="center" vertical="center"/>
    </xf>
    <xf numFmtId="0" fontId="18" fillId="36" borderId="27" xfId="0" applyFont="1" applyFill="1" applyBorder="1" applyAlignment="1">
      <alignment horizontal="center" vertical="center"/>
    </xf>
    <xf numFmtId="0" fontId="18" fillId="36" borderId="28" xfId="0" applyFont="1" applyFill="1" applyBorder="1" applyAlignment="1">
      <alignment horizontal="center" vertical="center"/>
    </xf>
    <xf numFmtId="0" fontId="18" fillId="36" borderId="29" xfId="0" applyFont="1" applyFill="1" applyBorder="1" applyAlignment="1">
      <alignment horizontal="center" vertical="center"/>
    </xf>
    <xf numFmtId="0" fontId="18" fillId="0" borderId="35" xfId="0" applyNumberFormat="1" applyFont="1" applyBorder="1" applyAlignment="1">
      <alignment horizontal="center" vertical="center"/>
    </xf>
    <xf numFmtId="0" fontId="25" fillId="35" borderId="37" xfId="0" applyFont="1" applyFill="1" applyBorder="1" applyAlignment="1">
      <alignment horizontal="center" vertical="center"/>
    </xf>
    <xf numFmtId="0" fontId="25" fillId="35" borderId="38" xfId="0" applyFont="1" applyFill="1" applyBorder="1" applyAlignment="1">
      <alignment horizontal="center" vertical="center"/>
    </xf>
    <xf numFmtId="0" fontId="25" fillId="37" borderId="39" xfId="0" applyFont="1" applyFill="1" applyBorder="1" applyAlignment="1">
      <alignment horizontal="center" vertical="center"/>
    </xf>
    <xf numFmtId="0" fontId="25" fillId="36" borderId="40" xfId="0" applyFont="1" applyFill="1" applyBorder="1" applyAlignment="1">
      <alignment horizontal="center" vertical="center"/>
    </xf>
    <xf numFmtId="0" fontId="25" fillId="36" borderId="39" xfId="0" applyFont="1" applyFill="1" applyBorder="1" applyAlignment="1">
      <alignment horizontal="center" vertical="center"/>
    </xf>
    <xf numFmtId="0" fontId="25" fillId="36" borderId="41" xfId="0" applyFont="1" applyFill="1" applyBorder="1" applyAlignment="1">
      <alignment horizontal="center" vertical="center"/>
    </xf>
    <xf numFmtId="0" fontId="25" fillId="33" borderId="42" xfId="0" applyFont="1" applyFill="1" applyBorder="1" applyAlignment="1">
      <alignment horizontal="center" vertical="center"/>
    </xf>
    <xf numFmtId="10" fontId="25" fillId="33" borderId="42" xfId="1" applyNumberFormat="1" applyFont="1" applyFill="1" applyBorder="1" applyAlignment="1">
      <alignment horizontal="center" vertical="center"/>
    </xf>
    <xf numFmtId="0" fontId="25" fillId="33" borderId="43" xfId="0" applyFont="1" applyFill="1" applyBorder="1" applyAlignment="1">
      <alignment horizontal="center" vertical="center"/>
    </xf>
    <xf numFmtId="0" fontId="25" fillId="33" borderId="44" xfId="0" applyFont="1" applyFill="1" applyBorder="1" applyAlignment="1">
      <alignment horizontal="center" vertical="center"/>
    </xf>
    <xf numFmtId="0" fontId="25" fillId="33" borderId="45" xfId="0" applyFont="1" applyFill="1" applyBorder="1" applyAlignment="1">
      <alignment horizontal="center" vertical="center"/>
    </xf>
    <xf numFmtId="0" fontId="22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0" fontId="25" fillId="0" borderId="22" xfId="0" applyFont="1" applyBorder="1" applyAlignment="1">
      <alignment horizontal="center" vertical="center"/>
    </xf>
    <xf numFmtId="0" fontId="25" fillId="0" borderId="25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25" fillId="0" borderId="24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</cellXfs>
  <cellStyles count="44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一般 2" xfId="43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101"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rgb="FFFF0000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19050</xdr:colOff>
      <xdr:row>1</xdr:row>
      <xdr:rowOff>9525</xdr:rowOff>
    </xdr:from>
    <xdr:to>
      <xdr:col>32</xdr:col>
      <xdr:colOff>9525</xdr:colOff>
      <xdr:row>25</xdr:row>
      <xdr:rowOff>166826</xdr:rowOff>
    </xdr:to>
    <xdr:pic>
      <xdr:nvPicPr>
        <xdr:cNvPr id="2" name="圖片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344650" y="219075"/>
          <a:ext cx="6848475" cy="519602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1"/>
  <sheetViews>
    <sheetView tabSelected="1" topLeftCell="F1" workbookViewId="0">
      <selection activeCell="V15" sqref="V15"/>
    </sheetView>
  </sheetViews>
  <sheetFormatPr defaultRowHeight="16.5"/>
  <cols>
    <col min="1" max="2" width="4" style="31" bestFit="1" customWidth="1"/>
    <col min="3" max="3" width="14.625" style="31" bestFit="1" customWidth="1"/>
    <col min="4" max="4" width="7.5" style="31" bestFit="1" customWidth="1"/>
    <col min="5" max="5" width="6.625" style="31" bestFit="1" customWidth="1"/>
    <col min="6" max="7" width="4" style="31" customWidth="1"/>
    <col min="8" max="8" width="14.625" style="31" customWidth="1"/>
    <col min="9" max="9" width="7.5" style="31" customWidth="1"/>
    <col min="10" max="10" width="6.625" style="31" customWidth="1"/>
    <col min="13" max="13" width="13.5" customWidth="1"/>
    <col min="14" max="21" width="8.125" customWidth="1"/>
  </cols>
  <sheetData>
    <row r="1" spans="1:21">
      <c r="A1" s="88" t="s">
        <v>41</v>
      </c>
      <c r="B1" s="88"/>
      <c r="C1" s="88"/>
      <c r="D1" s="88"/>
      <c r="E1" s="88"/>
      <c r="F1" s="88"/>
      <c r="G1" s="88"/>
      <c r="H1" s="88"/>
      <c r="I1" s="88"/>
      <c r="J1" s="89"/>
    </row>
    <row r="2" spans="1:21">
      <c r="A2" s="90" t="s">
        <v>28</v>
      </c>
      <c r="B2" s="90"/>
      <c r="C2" s="90"/>
      <c r="D2" s="90"/>
      <c r="E2" s="90"/>
      <c r="F2" s="91" t="s">
        <v>31</v>
      </c>
      <c r="G2" s="92"/>
      <c r="H2" s="92"/>
      <c r="I2" s="92"/>
      <c r="J2" s="93"/>
      <c r="L2" s="80" t="s">
        <v>42</v>
      </c>
      <c r="M2" s="80"/>
      <c r="N2" s="80"/>
      <c r="O2" s="80"/>
      <c r="P2" s="80"/>
      <c r="Q2" s="80"/>
      <c r="R2" s="80"/>
      <c r="S2" s="80"/>
      <c r="T2" s="80"/>
      <c r="U2" s="80"/>
    </row>
    <row r="3" spans="1:21">
      <c r="A3" s="94" t="s">
        <v>43</v>
      </c>
      <c r="B3" s="94" t="s">
        <v>44</v>
      </c>
      <c r="C3" s="94" t="s">
        <v>0</v>
      </c>
      <c r="D3" s="95" t="s">
        <v>2</v>
      </c>
      <c r="E3" s="96" t="s">
        <v>3</v>
      </c>
      <c r="F3" s="97" t="s">
        <v>45</v>
      </c>
      <c r="G3" s="94" t="s">
        <v>46</v>
      </c>
      <c r="H3" s="94" t="s">
        <v>0</v>
      </c>
      <c r="I3" s="95" t="s">
        <v>2</v>
      </c>
      <c r="J3" s="98" t="s">
        <v>3</v>
      </c>
      <c r="L3" s="34"/>
      <c r="M3" s="35"/>
      <c r="N3" s="81" t="s">
        <v>47</v>
      </c>
      <c r="O3" s="82"/>
      <c r="P3" s="82"/>
      <c r="Q3" s="83"/>
      <c r="R3" s="84" t="s">
        <v>48</v>
      </c>
      <c r="S3" s="85"/>
      <c r="T3" s="85"/>
      <c r="U3" s="86"/>
    </row>
    <row r="4" spans="1:21" ht="17.25" thickBot="1">
      <c r="A4" s="99">
        <v>3</v>
      </c>
      <c r="B4" s="99">
        <v>3</v>
      </c>
      <c r="C4" s="99" t="s">
        <v>7</v>
      </c>
      <c r="D4" s="100">
        <v>1.0800000000000001E-2</v>
      </c>
      <c r="E4" s="100">
        <v>2.16</v>
      </c>
      <c r="F4" s="101">
        <v>3</v>
      </c>
      <c r="G4" s="99">
        <v>3</v>
      </c>
      <c r="H4" s="99" t="s">
        <v>7</v>
      </c>
      <c r="I4" s="100">
        <v>8.3000000000000001E-3</v>
      </c>
      <c r="J4" s="102">
        <v>1.67</v>
      </c>
      <c r="L4" s="28" t="s">
        <v>49</v>
      </c>
      <c r="M4" s="22" t="s">
        <v>17</v>
      </c>
      <c r="N4" s="55">
        <v>3</v>
      </c>
      <c r="O4" s="55">
        <v>6</v>
      </c>
      <c r="P4" s="55">
        <v>9</v>
      </c>
      <c r="Q4" s="56">
        <v>12</v>
      </c>
      <c r="R4" s="55">
        <v>3</v>
      </c>
      <c r="S4" s="55">
        <v>6</v>
      </c>
      <c r="T4" s="55">
        <v>9</v>
      </c>
      <c r="U4" s="56">
        <v>12</v>
      </c>
    </row>
    <row r="5" spans="1:21">
      <c r="A5" s="99">
        <v>3</v>
      </c>
      <c r="B5" s="99">
        <v>3</v>
      </c>
      <c r="C5" s="99" t="s">
        <v>8</v>
      </c>
      <c r="D5" s="100">
        <v>1.4E-2</v>
      </c>
      <c r="E5" s="100">
        <v>3.57</v>
      </c>
      <c r="F5" s="101">
        <v>3</v>
      </c>
      <c r="G5" s="99">
        <v>3</v>
      </c>
      <c r="H5" s="99" t="s">
        <v>8</v>
      </c>
      <c r="I5" s="100">
        <v>1.5599999999999999E-2</v>
      </c>
      <c r="J5" s="102">
        <v>3.95</v>
      </c>
      <c r="L5" s="77" t="s">
        <v>12</v>
      </c>
      <c r="M5" s="76" t="s">
        <v>7</v>
      </c>
      <c r="N5" s="59">
        <f>D4</f>
        <v>1.0800000000000001E-2</v>
      </c>
      <c r="O5" s="59">
        <f>D7</f>
        <v>9.1000000000000004E-3</v>
      </c>
      <c r="P5" s="59">
        <f>D10</f>
        <v>9.1999999999999998E-3</v>
      </c>
      <c r="Q5" s="60">
        <f>D13</f>
        <v>8.6999999999999994E-3</v>
      </c>
      <c r="R5" s="59">
        <v>8.3000000000000001E-3</v>
      </c>
      <c r="S5" s="59">
        <v>7.9000000000000008E-3</v>
      </c>
      <c r="T5" s="59">
        <v>8.3999999999999995E-3</v>
      </c>
      <c r="U5" s="60">
        <v>8.3000000000000001E-3</v>
      </c>
    </row>
    <row r="6" spans="1:21">
      <c r="A6" s="103">
        <v>3</v>
      </c>
      <c r="B6" s="103">
        <v>3</v>
      </c>
      <c r="C6" s="103" t="s">
        <v>9</v>
      </c>
      <c r="D6" s="100">
        <v>3.2000000000000002E-3</v>
      </c>
      <c r="E6" s="100">
        <v>1.1000000000000001</v>
      </c>
      <c r="F6" s="104">
        <v>3</v>
      </c>
      <c r="G6" s="103">
        <v>3</v>
      </c>
      <c r="H6" s="103" t="s">
        <v>9</v>
      </c>
      <c r="I6" s="100">
        <v>7.4000000000000003E-3</v>
      </c>
      <c r="J6" s="102">
        <v>2.61</v>
      </c>
      <c r="L6" s="62"/>
      <c r="M6" s="65"/>
      <c r="N6" s="49">
        <f>E4</f>
        <v>2.16</v>
      </c>
      <c r="O6" s="49">
        <f>E7</f>
        <v>1.87</v>
      </c>
      <c r="P6" s="49">
        <f>E10</f>
        <v>1.91</v>
      </c>
      <c r="Q6" s="50">
        <f>E13</f>
        <v>1.87</v>
      </c>
      <c r="R6" s="49">
        <v>1.67</v>
      </c>
      <c r="S6" s="49">
        <v>1.64</v>
      </c>
      <c r="T6" s="49">
        <v>1.77</v>
      </c>
      <c r="U6" s="50">
        <v>1.67</v>
      </c>
    </row>
    <row r="7" spans="1:21">
      <c r="A7" s="99">
        <v>3</v>
      </c>
      <c r="B7" s="99">
        <v>6</v>
      </c>
      <c r="C7" s="99" t="s">
        <v>7</v>
      </c>
      <c r="D7" s="100">
        <v>9.1000000000000004E-3</v>
      </c>
      <c r="E7" s="100">
        <v>1.87</v>
      </c>
      <c r="F7" s="101">
        <v>3</v>
      </c>
      <c r="G7" s="99">
        <v>6</v>
      </c>
      <c r="H7" s="99" t="s">
        <v>7</v>
      </c>
      <c r="I7" s="100">
        <v>7.9000000000000008E-3</v>
      </c>
      <c r="J7" s="102">
        <v>1.64</v>
      </c>
      <c r="L7" s="78" t="s">
        <v>12</v>
      </c>
      <c r="M7" s="66" t="s">
        <v>8</v>
      </c>
      <c r="N7" s="59">
        <f>D5</f>
        <v>1.4E-2</v>
      </c>
      <c r="O7" s="59">
        <f>D8</f>
        <v>1.49E-2</v>
      </c>
      <c r="P7" s="59">
        <f>D11</f>
        <v>1.52E-2</v>
      </c>
      <c r="Q7" s="60">
        <f>D14</f>
        <v>1.5599999999999999E-2</v>
      </c>
      <c r="R7" s="59">
        <v>1.5599999999999999E-2</v>
      </c>
      <c r="S7" s="59">
        <v>1.5800000000000002E-2</v>
      </c>
      <c r="T7" s="59">
        <v>1.5800000000000002E-2</v>
      </c>
      <c r="U7" s="60">
        <v>1.6E-2</v>
      </c>
    </row>
    <row r="8" spans="1:21">
      <c r="A8" s="99">
        <v>3</v>
      </c>
      <c r="B8" s="99">
        <v>6</v>
      </c>
      <c r="C8" s="99" t="s">
        <v>8</v>
      </c>
      <c r="D8" s="100">
        <v>1.49E-2</v>
      </c>
      <c r="E8" s="100">
        <v>3.78</v>
      </c>
      <c r="F8" s="101">
        <v>3</v>
      </c>
      <c r="G8" s="99">
        <v>6</v>
      </c>
      <c r="H8" s="99" t="s">
        <v>8</v>
      </c>
      <c r="I8" s="100">
        <v>1.5800000000000002E-2</v>
      </c>
      <c r="J8" s="102">
        <v>3.98</v>
      </c>
      <c r="L8" s="62"/>
      <c r="M8" s="65"/>
      <c r="N8" s="49">
        <f>E5</f>
        <v>3.57</v>
      </c>
      <c r="O8" s="49">
        <f>E8</f>
        <v>3.78</v>
      </c>
      <c r="P8" s="49">
        <f>E11</f>
        <v>3.83</v>
      </c>
      <c r="Q8" s="50">
        <f>E14</f>
        <v>3.89</v>
      </c>
      <c r="R8" s="49">
        <v>3.95</v>
      </c>
      <c r="S8" s="49">
        <v>3.98</v>
      </c>
      <c r="T8" s="49">
        <v>3.96</v>
      </c>
      <c r="U8" s="50">
        <v>3.87</v>
      </c>
    </row>
    <row r="9" spans="1:21">
      <c r="A9" s="103">
        <v>3</v>
      </c>
      <c r="B9" s="103">
        <v>6</v>
      </c>
      <c r="C9" s="103" t="s">
        <v>9</v>
      </c>
      <c r="D9" s="100">
        <v>5.7999999999999996E-3</v>
      </c>
      <c r="E9" s="100">
        <v>2.29</v>
      </c>
      <c r="F9" s="104">
        <v>3</v>
      </c>
      <c r="G9" s="103">
        <v>6</v>
      </c>
      <c r="H9" s="103" t="s">
        <v>9</v>
      </c>
      <c r="I9" s="100">
        <v>8.0000000000000002E-3</v>
      </c>
      <c r="J9" s="102">
        <v>3.06</v>
      </c>
      <c r="L9" s="78" t="s">
        <v>12</v>
      </c>
      <c r="M9" s="67" t="s">
        <v>9</v>
      </c>
      <c r="N9" s="59">
        <f>D6</f>
        <v>3.2000000000000002E-3</v>
      </c>
      <c r="O9" s="59">
        <f>D9</f>
        <v>5.7999999999999996E-3</v>
      </c>
      <c r="P9" s="59">
        <f>D12</f>
        <v>6.1000000000000004E-3</v>
      </c>
      <c r="Q9" s="60">
        <f>D15</f>
        <v>6.8999999999999999E-3</v>
      </c>
      <c r="R9" s="59">
        <v>7.4000000000000003E-3</v>
      </c>
      <c r="S9" s="59">
        <v>8.0000000000000002E-3</v>
      </c>
      <c r="T9" s="59">
        <v>7.4000000000000003E-3</v>
      </c>
      <c r="U9" s="60">
        <v>7.7000000000000002E-3</v>
      </c>
    </row>
    <row r="10" spans="1:21">
      <c r="A10" s="99">
        <v>3</v>
      </c>
      <c r="B10" s="99">
        <v>9</v>
      </c>
      <c r="C10" s="99" t="s">
        <v>7</v>
      </c>
      <c r="D10" s="100">
        <v>9.1999999999999998E-3</v>
      </c>
      <c r="E10" s="100">
        <v>1.91</v>
      </c>
      <c r="F10" s="101">
        <v>3</v>
      </c>
      <c r="G10" s="99">
        <v>9</v>
      </c>
      <c r="H10" s="99" t="s">
        <v>7</v>
      </c>
      <c r="I10" s="100">
        <v>8.3999999999999995E-3</v>
      </c>
      <c r="J10" s="102">
        <v>1.77</v>
      </c>
      <c r="L10" s="70"/>
      <c r="M10" s="71"/>
      <c r="N10" s="51">
        <f>E6</f>
        <v>1.1000000000000001</v>
      </c>
      <c r="O10" s="51">
        <f>E8</f>
        <v>3.78</v>
      </c>
      <c r="P10" s="51">
        <f>E12</f>
        <v>2.69</v>
      </c>
      <c r="Q10" s="52">
        <f>E15</f>
        <v>3.53</v>
      </c>
      <c r="R10" s="51">
        <v>2.61</v>
      </c>
      <c r="S10" s="51">
        <v>3.06</v>
      </c>
      <c r="T10" s="51">
        <v>3.07</v>
      </c>
      <c r="U10" s="52">
        <v>4</v>
      </c>
    </row>
    <row r="11" spans="1:21">
      <c r="A11" s="99">
        <v>3</v>
      </c>
      <c r="B11" s="99">
        <v>9</v>
      </c>
      <c r="C11" s="99" t="s">
        <v>8</v>
      </c>
      <c r="D11" s="100">
        <v>1.52E-2</v>
      </c>
      <c r="E11" s="100">
        <v>3.83</v>
      </c>
      <c r="F11" s="101">
        <v>3</v>
      </c>
      <c r="G11" s="99">
        <v>9</v>
      </c>
      <c r="H11" s="99" t="s">
        <v>8</v>
      </c>
      <c r="I11" s="100">
        <v>1.5800000000000002E-2</v>
      </c>
      <c r="J11" s="102">
        <v>3.96</v>
      </c>
      <c r="L11" s="87" t="s">
        <v>13</v>
      </c>
      <c r="M11" s="64" t="s">
        <v>7</v>
      </c>
      <c r="N11" s="59">
        <f>D16</f>
        <v>8.6999999999999994E-3</v>
      </c>
      <c r="O11" s="59">
        <f>D19</f>
        <v>7.9000000000000008E-3</v>
      </c>
      <c r="P11" s="59">
        <f>D22</f>
        <v>7.1999999999999998E-3</v>
      </c>
      <c r="Q11" s="60">
        <f>D25</f>
        <v>6.6E-3</v>
      </c>
      <c r="R11" s="59">
        <v>6.6E-3</v>
      </c>
      <c r="S11" s="59">
        <v>6.4999999999999997E-3</v>
      </c>
      <c r="T11" s="59">
        <v>7.1000000000000004E-3</v>
      </c>
      <c r="U11" s="60">
        <v>6.7999999999999996E-3</v>
      </c>
    </row>
    <row r="12" spans="1:21">
      <c r="A12" s="103">
        <v>3</v>
      </c>
      <c r="B12" s="103">
        <v>9</v>
      </c>
      <c r="C12" s="103" t="s">
        <v>9</v>
      </c>
      <c r="D12" s="100">
        <v>6.1000000000000004E-3</v>
      </c>
      <c r="E12" s="100">
        <v>2.69</v>
      </c>
      <c r="F12" s="104">
        <v>3</v>
      </c>
      <c r="G12" s="103">
        <v>9</v>
      </c>
      <c r="H12" s="103" t="s">
        <v>9</v>
      </c>
      <c r="I12" s="100">
        <v>7.4000000000000003E-3</v>
      </c>
      <c r="J12" s="102">
        <v>3.07</v>
      </c>
      <c r="L12" s="62"/>
      <c r="M12" s="65"/>
      <c r="N12" s="49">
        <f>E16</f>
        <v>1.67</v>
      </c>
      <c r="O12" s="49">
        <f>E19</f>
        <v>1.56</v>
      </c>
      <c r="P12" s="49">
        <f>E22</f>
        <v>1.48</v>
      </c>
      <c r="Q12" s="50">
        <f>E25</f>
        <v>1.66</v>
      </c>
      <c r="R12" s="49">
        <v>1.28</v>
      </c>
      <c r="S12" s="49">
        <v>1.35</v>
      </c>
      <c r="T12" s="49">
        <v>1.37</v>
      </c>
      <c r="U12" s="50">
        <v>1.58</v>
      </c>
    </row>
    <row r="13" spans="1:21">
      <c r="A13" s="99">
        <v>3</v>
      </c>
      <c r="B13" s="99">
        <v>12</v>
      </c>
      <c r="C13" s="99" t="s">
        <v>7</v>
      </c>
      <c r="D13" s="100">
        <v>8.6999999999999994E-3</v>
      </c>
      <c r="E13" s="100">
        <v>1.87</v>
      </c>
      <c r="F13" s="101">
        <v>3</v>
      </c>
      <c r="G13" s="99">
        <v>12</v>
      </c>
      <c r="H13" s="99" t="s">
        <v>7</v>
      </c>
      <c r="I13" s="100">
        <v>8.3000000000000001E-3</v>
      </c>
      <c r="J13" s="102">
        <v>1.67</v>
      </c>
      <c r="L13" s="78" t="s">
        <v>13</v>
      </c>
      <c r="M13" s="66" t="s">
        <v>8</v>
      </c>
      <c r="N13" s="59">
        <f>D17</f>
        <v>1.7100000000000001E-2</v>
      </c>
      <c r="O13" s="59">
        <f>D20</f>
        <v>1.7399999999999999E-2</v>
      </c>
      <c r="P13" s="59">
        <f>D23</f>
        <v>1.7399999999999999E-2</v>
      </c>
      <c r="Q13" s="60">
        <f>D26</f>
        <v>1.66E-2</v>
      </c>
      <c r="R13" s="59">
        <v>1.77E-2</v>
      </c>
      <c r="S13" s="59">
        <v>1.7600000000000001E-2</v>
      </c>
      <c r="T13" s="59">
        <v>1.7100000000000001E-2</v>
      </c>
      <c r="U13" s="60">
        <v>1.6299999999999999E-2</v>
      </c>
    </row>
    <row r="14" spans="1:21">
      <c r="A14" s="99">
        <v>3</v>
      </c>
      <c r="B14" s="99">
        <v>12</v>
      </c>
      <c r="C14" s="99" t="s">
        <v>8</v>
      </c>
      <c r="D14" s="100">
        <v>1.5599999999999999E-2</v>
      </c>
      <c r="E14" s="100">
        <v>3.89</v>
      </c>
      <c r="F14" s="101">
        <v>3</v>
      </c>
      <c r="G14" s="99">
        <v>12</v>
      </c>
      <c r="H14" s="99" t="s">
        <v>8</v>
      </c>
      <c r="I14" s="100">
        <v>1.6E-2</v>
      </c>
      <c r="J14" s="102">
        <v>3.87</v>
      </c>
      <c r="L14" s="62"/>
      <c r="M14" s="65"/>
      <c r="N14" s="49">
        <f>E17</f>
        <v>4.28</v>
      </c>
      <c r="O14" s="49">
        <f>E20</f>
        <v>4.33</v>
      </c>
      <c r="P14" s="49">
        <f>E23</f>
        <v>4.3099999999999996</v>
      </c>
      <c r="Q14" s="50">
        <f>E26</f>
        <v>4.13</v>
      </c>
      <c r="R14" s="49">
        <v>4.47</v>
      </c>
      <c r="S14" s="49">
        <v>4.41</v>
      </c>
      <c r="T14" s="49">
        <v>4.32</v>
      </c>
      <c r="U14" s="50">
        <v>4.13</v>
      </c>
    </row>
    <row r="15" spans="1:21">
      <c r="A15" s="103">
        <v>3</v>
      </c>
      <c r="B15" s="103">
        <v>12</v>
      </c>
      <c r="C15" s="103" t="s">
        <v>9</v>
      </c>
      <c r="D15" s="100">
        <v>6.8999999999999999E-3</v>
      </c>
      <c r="E15" s="100">
        <v>3.53</v>
      </c>
      <c r="F15" s="104">
        <v>3</v>
      </c>
      <c r="G15" s="103">
        <v>12</v>
      </c>
      <c r="H15" s="103" t="s">
        <v>9</v>
      </c>
      <c r="I15" s="100">
        <v>7.7000000000000002E-3</v>
      </c>
      <c r="J15" s="102">
        <v>4</v>
      </c>
      <c r="L15" s="78" t="s">
        <v>13</v>
      </c>
      <c r="M15" s="67" t="s">
        <v>9</v>
      </c>
      <c r="N15" s="59">
        <f>D18</f>
        <v>8.3999999999999995E-3</v>
      </c>
      <c r="O15" s="59">
        <f>D21</f>
        <v>9.4999999999999998E-3</v>
      </c>
      <c r="P15" s="59">
        <f>D24</f>
        <v>1.0200000000000001E-2</v>
      </c>
      <c r="Q15" s="60">
        <f>D27</f>
        <v>8.6E-3</v>
      </c>
      <c r="R15" s="59">
        <v>1.11E-2</v>
      </c>
      <c r="S15" s="59">
        <v>1.11E-2</v>
      </c>
      <c r="T15" s="59">
        <v>0.01</v>
      </c>
      <c r="U15" s="60">
        <v>8.9999999999999993E-3</v>
      </c>
    </row>
    <row r="16" spans="1:21">
      <c r="A16" s="99">
        <v>6</v>
      </c>
      <c r="B16" s="99">
        <v>3</v>
      </c>
      <c r="C16" s="99" t="s">
        <v>7</v>
      </c>
      <c r="D16" s="100">
        <v>8.6999999999999994E-3</v>
      </c>
      <c r="E16" s="100">
        <v>1.67</v>
      </c>
      <c r="F16" s="101">
        <v>6</v>
      </c>
      <c r="G16" s="99">
        <v>3</v>
      </c>
      <c r="H16" s="99" t="s">
        <v>7</v>
      </c>
      <c r="I16" s="100">
        <v>6.6E-3</v>
      </c>
      <c r="J16" s="102">
        <v>1.28</v>
      </c>
      <c r="L16" s="70"/>
      <c r="M16" s="71"/>
      <c r="N16" s="51">
        <f>E18</f>
        <v>2.44</v>
      </c>
      <c r="O16" s="51">
        <f>E21</f>
        <v>3.07</v>
      </c>
      <c r="P16" s="51">
        <f>E24</f>
        <v>3.76</v>
      </c>
      <c r="Q16" s="52">
        <f>E27</f>
        <v>3.36</v>
      </c>
      <c r="R16" s="51">
        <v>3.37</v>
      </c>
      <c r="S16" s="51">
        <v>3.61</v>
      </c>
      <c r="T16" s="51">
        <v>3.41</v>
      </c>
      <c r="U16" s="52">
        <v>3.54</v>
      </c>
    </row>
    <row r="17" spans="1:21">
      <c r="A17" s="99">
        <v>6</v>
      </c>
      <c r="B17" s="99">
        <v>3</v>
      </c>
      <c r="C17" s="99" t="s">
        <v>8</v>
      </c>
      <c r="D17" s="100">
        <v>1.7100000000000001E-2</v>
      </c>
      <c r="E17" s="100">
        <v>4.28</v>
      </c>
      <c r="F17" s="101">
        <v>6</v>
      </c>
      <c r="G17" s="99">
        <v>3</v>
      </c>
      <c r="H17" s="99" t="s">
        <v>8</v>
      </c>
      <c r="I17" s="100">
        <v>1.77E-2</v>
      </c>
      <c r="J17" s="102">
        <v>4.47</v>
      </c>
      <c r="L17" s="87" t="s">
        <v>14</v>
      </c>
      <c r="M17" s="64" t="s">
        <v>7</v>
      </c>
      <c r="N17" s="59">
        <f>D28</f>
        <v>7.7000000000000002E-3</v>
      </c>
      <c r="O17" s="59">
        <f>D31</f>
        <v>6.4999999999999997E-3</v>
      </c>
      <c r="P17" s="59">
        <v>7.1000000000000004E-3</v>
      </c>
      <c r="Q17" s="60">
        <v>6.1000000000000004E-3</v>
      </c>
      <c r="R17" s="59">
        <v>5.7999999999999996E-3</v>
      </c>
      <c r="S17" s="59">
        <v>5.7999999999999996E-3</v>
      </c>
      <c r="T17" s="59">
        <v>5.4000000000000003E-3</v>
      </c>
      <c r="U17" s="60">
        <v>5.3E-3</v>
      </c>
    </row>
    <row r="18" spans="1:21">
      <c r="A18" s="103">
        <v>6</v>
      </c>
      <c r="B18" s="103">
        <v>3</v>
      </c>
      <c r="C18" s="103" t="s">
        <v>9</v>
      </c>
      <c r="D18" s="100">
        <v>8.3999999999999995E-3</v>
      </c>
      <c r="E18" s="100">
        <v>2.44</v>
      </c>
      <c r="F18" s="104">
        <v>6</v>
      </c>
      <c r="G18" s="103">
        <v>3</v>
      </c>
      <c r="H18" s="103" t="s">
        <v>9</v>
      </c>
      <c r="I18" s="100">
        <v>1.11E-2</v>
      </c>
      <c r="J18" s="102">
        <v>3.37</v>
      </c>
      <c r="L18" s="62"/>
      <c r="M18" s="65"/>
      <c r="N18" s="49">
        <f>E28</f>
        <v>1.47</v>
      </c>
      <c r="O18" s="49">
        <f>E31</f>
        <v>1.29</v>
      </c>
      <c r="P18" s="49">
        <v>1.43</v>
      </c>
      <c r="Q18" s="50">
        <v>1.66</v>
      </c>
      <c r="R18" s="49">
        <v>1.1299999999999999</v>
      </c>
      <c r="S18" s="49">
        <v>1.1499999999999999</v>
      </c>
      <c r="T18" s="49">
        <v>1.1399999999999999</v>
      </c>
      <c r="U18" s="50">
        <v>1.26</v>
      </c>
    </row>
    <row r="19" spans="1:21">
      <c r="A19" s="99">
        <v>6</v>
      </c>
      <c r="B19" s="99">
        <v>6</v>
      </c>
      <c r="C19" s="99" t="s">
        <v>7</v>
      </c>
      <c r="D19" s="100">
        <v>7.9000000000000008E-3</v>
      </c>
      <c r="E19" s="100">
        <v>1.56</v>
      </c>
      <c r="F19" s="101">
        <v>6</v>
      </c>
      <c r="G19" s="99">
        <v>6</v>
      </c>
      <c r="H19" s="99" t="s">
        <v>7</v>
      </c>
      <c r="I19" s="100">
        <v>6.4999999999999997E-3</v>
      </c>
      <c r="J19" s="102">
        <v>1.35</v>
      </c>
      <c r="L19" s="78" t="s">
        <v>14</v>
      </c>
      <c r="M19" s="66" t="s">
        <v>8</v>
      </c>
      <c r="N19" s="59">
        <f>D29</f>
        <v>1.8599999999999998E-2</v>
      </c>
      <c r="O19" s="59">
        <f>D32</f>
        <v>1.8599999999999998E-2</v>
      </c>
      <c r="P19" s="59">
        <v>1.7600000000000001E-2</v>
      </c>
      <c r="Q19" s="60">
        <v>1.6400000000000001E-2</v>
      </c>
      <c r="R19" s="59">
        <v>1.72E-2</v>
      </c>
      <c r="S19" s="59">
        <v>1.7100000000000001E-2</v>
      </c>
      <c r="T19" s="59">
        <v>1.61E-2</v>
      </c>
      <c r="U19" s="60">
        <v>1.4999999999999999E-2</v>
      </c>
    </row>
    <row r="20" spans="1:21">
      <c r="A20" s="99">
        <v>6</v>
      </c>
      <c r="B20" s="99">
        <v>6</v>
      </c>
      <c r="C20" s="99" t="s">
        <v>8</v>
      </c>
      <c r="D20" s="100">
        <v>1.7399999999999999E-2</v>
      </c>
      <c r="E20" s="100">
        <v>4.33</v>
      </c>
      <c r="F20" s="101">
        <v>6</v>
      </c>
      <c r="G20" s="99">
        <v>6</v>
      </c>
      <c r="H20" s="99" t="s">
        <v>8</v>
      </c>
      <c r="I20" s="100">
        <v>1.7600000000000001E-2</v>
      </c>
      <c r="J20" s="102">
        <v>4.41</v>
      </c>
      <c r="L20" s="62"/>
      <c r="M20" s="65"/>
      <c r="N20" s="49">
        <f>E29</f>
        <v>4.5599999999999996</v>
      </c>
      <c r="O20" s="49">
        <f>E32</f>
        <v>4.53</v>
      </c>
      <c r="P20" s="49">
        <v>4.3</v>
      </c>
      <c r="Q20" s="50">
        <v>3.97</v>
      </c>
      <c r="R20" s="49">
        <v>4.72</v>
      </c>
      <c r="S20" s="49">
        <v>4.6399999999999997</v>
      </c>
      <c r="T20" s="49">
        <v>4.49</v>
      </c>
      <c r="U20" s="50">
        <v>4.2</v>
      </c>
    </row>
    <row r="21" spans="1:21">
      <c r="A21" s="103">
        <v>6</v>
      </c>
      <c r="B21" s="103">
        <v>6</v>
      </c>
      <c r="C21" s="103" t="s">
        <v>9</v>
      </c>
      <c r="D21" s="100">
        <v>9.4999999999999998E-3</v>
      </c>
      <c r="E21" s="100">
        <v>3.07</v>
      </c>
      <c r="F21" s="104">
        <v>6</v>
      </c>
      <c r="G21" s="103">
        <v>6</v>
      </c>
      <c r="H21" s="103" t="s">
        <v>9</v>
      </c>
      <c r="I21" s="100">
        <v>1.11E-2</v>
      </c>
      <c r="J21" s="102">
        <v>3.61</v>
      </c>
      <c r="L21" s="78" t="s">
        <v>14</v>
      </c>
      <c r="M21" s="67" t="s">
        <v>9</v>
      </c>
      <c r="N21" s="59">
        <f>D30</f>
        <v>1.09E-2</v>
      </c>
      <c r="O21" s="59">
        <f>D33</f>
        <v>1.21E-2</v>
      </c>
      <c r="P21" s="59">
        <v>1.0500000000000001E-2</v>
      </c>
      <c r="Q21" s="60">
        <v>9.1999999999999998E-3</v>
      </c>
      <c r="R21" s="59">
        <v>1.14E-2</v>
      </c>
      <c r="S21" s="59">
        <v>1.1299999999999999E-2</v>
      </c>
      <c r="T21" s="59">
        <v>1.06E-2</v>
      </c>
      <c r="U21" s="60">
        <v>9.7000000000000003E-3</v>
      </c>
    </row>
    <row r="22" spans="1:21">
      <c r="A22" s="99">
        <v>6</v>
      </c>
      <c r="B22" s="99">
        <v>9</v>
      </c>
      <c r="C22" s="99" t="s">
        <v>7</v>
      </c>
      <c r="D22" s="100">
        <v>7.1999999999999998E-3</v>
      </c>
      <c r="E22" s="100">
        <v>1.48</v>
      </c>
      <c r="F22" s="101">
        <v>6</v>
      </c>
      <c r="G22" s="99">
        <v>9</v>
      </c>
      <c r="H22" s="99" t="s">
        <v>7</v>
      </c>
      <c r="I22" s="100">
        <v>7.1000000000000004E-3</v>
      </c>
      <c r="J22" s="102">
        <v>1.37</v>
      </c>
      <c r="L22" s="70"/>
      <c r="M22" s="71"/>
      <c r="N22" s="51">
        <f>E30</f>
        <v>3.03</v>
      </c>
      <c r="O22" s="51">
        <f>E33</f>
        <v>3.78</v>
      </c>
      <c r="P22" s="51">
        <v>3.47</v>
      </c>
      <c r="Q22" s="52">
        <v>2.89</v>
      </c>
      <c r="R22" s="51">
        <v>3.4</v>
      </c>
      <c r="S22" s="51">
        <v>3.79</v>
      </c>
      <c r="T22" s="51">
        <v>3.6</v>
      </c>
      <c r="U22" s="52">
        <v>3.39</v>
      </c>
    </row>
    <row r="23" spans="1:21">
      <c r="A23" s="99">
        <v>6</v>
      </c>
      <c r="B23" s="99">
        <v>9</v>
      </c>
      <c r="C23" s="99" t="s">
        <v>8</v>
      </c>
      <c r="D23" s="100">
        <v>1.7399999999999999E-2</v>
      </c>
      <c r="E23" s="100">
        <v>4.3099999999999996</v>
      </c>
      <c r="F23" s="101">
        <v>6</v>
      </c>
      <c r="G23" s="99">
        <v>9</v>
      </c>
      <c r="H23" s="99" t="s">
        <v>8</v>
      </c>
      <c r="I23" s="100">
        <v>1.7100000000000001E-2</v>
      </c>
      <c r="J23" s="102">
        <v>4.32</v>
      </c>
      <c r="L23" s="87" t="s">
        <v>15</v>
      </c>
      <c r="M23" s="64" t="s">
        <v>7</v>
      </c>
      <c r="N23" s="59">
        <v>6.0000000000000001E-3</v>
      </c>
      <c r="O23" s="59">
        <v>6.4999999999999997E-3</v>
      </c>
      <c r="P23" s="59">
        <v>7.4999999999999997E-3</v>
      </c>
      <c r="Q23" s="60">
        <v>8.6999999999999994E-3</v>
      </c>
      <c r="R23" s="59">
        <v>4.7999999999999996E-3</v>
      </c>
      <c r="S23" s="59">
        <v>5.1999999999999998E-3</v>
      </c>
      <c r="T23" s="59">
        <v>5.4000000000000003E-3</v>
      </c>
      <c r="U23" s="60">
        <v>6.0000000000000001E-3</v>
      </c>
    </row>
    <row r="24" spans="1:21">
      <c r="A24" s="103">
        <v>6</v>
      </c>
      <c r="B24" s="103">
        <v>9</v>
      </c>
      <c r="C24" s="103" t="s">
        <v>9</v>
      </c>
      <c r="D24" s="100">
        <v>1.0200000000000001E-2</v>
      </c>
      <c r="E24" s="100">
        <v>3.76</v>
      </c>
      <c r="F24" s="104">
        <v>6</v>
      </c>
      <c r="G24" s="103">
        <v>9</v>
      </c>
      <c r="H24" s="103" t="s">
        <v>9</v>
      </c>
      <c r="I24" s="100">
        <v>0.01</v>
      </c>
      <c r="J24" s="102">
        <v>3.41</v>
      </c>
      <c r="L24" s="62"/>
      <c r="M24" s="65"/>
      <c r="N24" s="49">
        <v>1.17</v>
      </c>
      <c r="O24" s="49">
        <v>1.29</v>
      </c>
      <c r="P24" s="49">
        <v>1.48</v>
      </c>
      <c r="Q24" s="50">
        <v>1.74</v>
      </c>
      <c r="R24" s="49">
        <v>0.96</v>
      </c>
      <c r="S24" s="49">
        <v>1.07</v>
      </c>
      <c r="T24" s="49">
        <v>1.1299999999999999</v>
      </c>
      <c r="U24" s="50">
        <v>1.36</v>
      </c>
    </row>
    <row r="25" spans="1:21">
      <c r="A25" s="99">
        <v>6</v>
      </c>
      <c r="B25" s="99">
        <v>12</v>
      </c>
      <c r="C25" s="99" t="s">
        <v>7</v>
      </c>
      <c r="D25" s="100">
        <v>6.6E-3</v>
      </c>
      <c r="E25" s="100">
        <v>1.66</v>
      </c>
      <c r="F25" s="101">
        <v>6</v>
      </c>
      <c r="G25" s="99">
        <v>12</v>
      </c>
      <c r="H25" s="99" t="s">
        <v>7</v>
      </c>
      <c r="I25" s="100">
        <v>6.7999999999999996E-3</v>
      </c>
      <c r="J25" s="102">
        <v>1.58</v>
      </c>
      <c r="L25" s="78" t="s">
        <v>15</v>
      </c>
      <c r="M25" s="66" t="s">
        <v>8</v>
      </c>
      <c r="N25" s="59">
        <v>1.9199999999999998E-2</v>
      </c>
      <c r="O25" s="59">
        <v>1.7899999999999999E-2</v>
      </c>
      <c r="P25" s="59">
        <v>1.6799999999999999E-2</v>
      </c>
      <c r="Q25" s="60">
        <v>1.55E-2</v>
      </c>
      <c r="R25" s="59">
        <v>1.9599999999999999E-2</v>
      </c>
      <c r="S25" s="59">
        <v>1.7899999999999999E-2</v>
      </c>
      <c r="T25" s="59">
        <v>1.77E-2</v>
      </c>
      <c r="U25" s="60">
        <v>1.54E-2</v>
      </c>
    </row>
    <row r="26" spans="1:21">
      <c r="A26" s="99">
        <v>6</v>
      </c>
      <c r="B26" s="99">
        <v>12</v>
      </c>
      <c r="C26" s="99" t="s">
        <v>8</v>
      </c>
      <c r="D26" s="100">
        <v>1.66E-2</v>
      </c>
      <c r="E26" s="100">
        <v>4.13</v>
      </c>
      <c r="F26" s="101">
        <v>6</v>
      </c>
      <c r="G26" s="99">
        <v>12</v>
      </c>
      <c r="H26" s="99" t="s">
        <v>8</v>
      </c>
      <c r="I26" s="100">
        <v>1.6299999999999999E-2</v>
      </c>
      <c r="J26" s="102">
        <v>4.13</v>
      </c>
      <c r="L26" s="62"/>
      <c r="M26" s="65"/>
      <c r="N26" s="49">
        <v>4.63</v>
      </c>
      <c r="O26" s="49">
        <v>4.3600000000000003</v>
      </c>
      <c r="P26" s="49">
        <v>4.0999999999999996</v>
      </c>
      <c r="Q26" s="50">
        <v>3.81</v>
      </c>
      <c r="R26" s="49">
        <v>4.7300000000000004</v>
      </c>
      <c r="S26" s="49">
        <v>4.3600000000000003</v>
      </c>
      <c r="T26" s="49">
        <v>4.28</v>
      </c>
      <c r="U26" s="50">
        <v>3.79</v>
      </c>
    </row>
    <row r="27" spans="1:21">
      <c r="A27" s="103">
        <v>6</v>
      </c>
      <c r="B27" s="103">
        <v>12</v>
      </c>
      <c r="C27" s="103" t="s">
        <v>9</v>
      </c>
      <c r="D27" s="100">
        <v>8.6E-3</v>
      </c>
      <c r="E27" s="100">
        <v>3.36</v>
      </c>
      <c r="F27" s="104">
        <v>6</v>
      </c>
      <c r="G27" s="103">
        <v>12</v>
      </c>
      <c r="H27" s="103" t="s">
        <v>9</v>
      </c>
      <c r="I27" s="100">
        <v>8.9999999999999993E-3</v>
      </c>
      <c r="J27" s="102">
        <v>3.54</v>
      </c>
      <c r="L27" s="78" t="s">
        <v>15</v>
      </c>
      <c r="M27" s="67" t="s">
        <v>9</v>
      </c>
      <c r="N27" s="59">
        <v>1.3100000000000001E-2</v>
      </c>
      <c r="O27" s="59">
        <v>1.14E-2</v>
      </c>
      <c r="P27" s="59">
        <v>9.2999999999999992E-3</v>
      </c>
      <c r="Q27" s="60">
        <v>6.7999999999999996E-3</v>
      </c>
      <c r="R27" s="59">
        <v>1.49E-2</v>
      </c>
      <c r="S27" s="59">
        <v>1.21E-2</v>
      </c>
      <c r="T27" s="59">
        <v>9.5999999999999992E-3</v>
      </c>
      <c r="U27" s="60">
        <v>9.4000000000000004E-3</v>
      </c>
    </row>
    <row r="28" spans="1:21">
      <c r="A28" s="99">
        <v>9</v>
      </c>
      <c r="B28" s="99">
        <v>3</v>
      </c>
      <c r="C28" s="99" t="s">
        <v>7</v>
      </c>
      <c r="D28" s="100">
        <v>7.7000000000000002E-3</v>
      </c>
      <c r="E28" s="100">
        <v>1.47</v>
      </c>
      <c r="F28" s="101">
        <v>9</v>
      </c>
      <c r="G28" s="99">
        <v>3</v>
      </c>
      <c r="H28" s="99" t="s">
        <v>7</v>
      </c>
      <c r="I28" s="100">
        <v>5.7999999999999996E-3</v>
      </c>
      <c r="J28" s="102">
        <v>1.1299999999999999</v>
      </c>
      <c r="L28" s="63"/>
      <c r="M28" s="68"/>
      <c r="N28" s="53">
        <v>3.74</v>
      </c>
      <c r="O28" s="53">
        <v>3.4</v>
      </c>
      <c r="P28" s="53">
        <v>2.95</v>
      </c>
      <c r="Q28" s="54">
        <v>2.25</v>
      </c>
      <c r="R28" s="53">
        <v>4.28</v>
      </c>
      <c r="S28" s="53">
        <v>3.65</v>
      </c>
      <c r="T28" s="53">
        <v>3.09</v>
      </c>
      <c r="U28" s="54">
        <v>2.31</v>
      </c>
    </row>
    <row r="29" spans="1:21">
      <c r="A29" s="99">
        <v>9</v>
      </c>
      <c r="B29" s="99">
        <v>3</v>
      </c>
      <c r="C29" s="99" t="s">
        <v>8</v>
      </c>
      <c r="D29" s="100">
        <v>1.8599999999999998E-2</v>
      </c>
      <c r="E29" s="100">
        <v>4.5599999999999996</v>
      </c>
      <c r="F29" s="101">
        <v>9</v>
      </c>
      <c r="G29" s="99">
        <v>3</v>
      </c>
      <c r="H29" s="99" t="s">
        <v>8</v>
      </c>
      <c r="I29" s="100">
        <v>1.72E-2</v>
      </c>
      <c r="J29" s="102">
        <v>4.72</v>
      </c>
    </row>
    <row r="30" spans="1:21">
      <c r="A30" s="103">
        <v>9</v>
      </c>
      <c r="B30" s="103">
        <v>3</v>
      </c>
      <c r="C30" s="103" t="s">
        <v>9</v>
      </c>
      <c r="D30" s="100">
        <v>1.09E-2</v>
      </c>
      <c r="E30" s="100">
        <v>3.03</v>
      </c>
      <c r="F30" s="104">
        <v>9</v>
      </c>
      <c r="G30" s="103">
        <v>3</v>
      </c>
      <c r="H30" s="103" t="s">
        <v>9</v>
      </c>
      <c r="I30" s="100">
        <v>1.14E-2</v>
      </c>
      <c r="J30" s="102">
        <v>3.4</v>
      </c>
      <c r="L30" s="100">
        <v>4.7999999999999996E-3</v>
      </c>
      <c r="M30" s="102">
        <v>0.96</v>
      </c>
      <c r="O30">
        <f>L30</f>
        <v>4.7999999999999996E-3</v>
      </c>
      <c r="P30">
        <f>L33</f>
        <v>5.1999999999999998E-3</v>
      </c>
      <c r="Q30">
        <f>L36</f>
        <v>5.4000000000000003E-3</v>
      </c>
      <c r="R30">
        <f>L39</f>
        <v>6.0000000000000001E-3</v>
      </c>
    </row>
    <row r="31" spans="1:21">
      <c r="A31" s="99">
        <v>9</v>
      </c>
      <c r="B31" s="99">
        <v>6</v>
      </c>
      <c r="C31" s="99" t="s">
        <v>7</v>
      </c>
      <c r="D31" s="100">
        <v>6.4999999999999997E-3</v>
      </c>
      <c r="E31" s="100">
        <v>1.29</v>
      </c>
      <c r="F31" s="101">
        <v>9</v>
      </c>
      <c r="G31" s="99">
        <v>6</v>
      </c>
      <c r="H31" s="99" t="s">
        <v>7</v>
      </c>
      <c r="I31" s="100">
        <v>5.7999999999999996E-3</v>
      </c>
      <c r="J31" s="102">
        <v>1.1499999999999999</v>
      </c>
      <c r="L31" s="100">
        <v>1.9599999999999999E-2</v>
      </c>
      <c r="M31" s="102">
        <v>4.7300000000000004</v>
      </c>
      <c r="O31">
        <f>M30</f>
        <v>0.96</v>
      </c>
      <c r="P31">
        <f>M33</f>
        <v>1.07</v>
      </c>
      <c r="Q31">
        <f>M36</f>
        <v>1.1299999999999999</v>
      </c>
      <c r="R31">
        <f>M39</f>
        <v>1.36</v>
      </c>
    </row>
    <row r="32" spans="1:21">
      <c r="A32" s="99">
        <v>9</v>
      </c>
      <c r="B32" s="99">
        <v>6</v>
      </c>
      <c r="C32" s="99" t="s">
        <v>8</v>
      </c>
      <c r="D32" s="100">
        <v>1.8599999999999998E-2</v>
      </c>
      <c r="E32" s="100">
        <v>4.53</v>
      </c>
      <c r="F32" s="101">
        <v>9</v>
      </c>
      <c r="G32" s="99">
        <v>6</v>
      </c>
      <c r="H32" s="99" t="s">
        <v>8</v>
      </c>
      <c r="I32" s="100">
        <v>1.7100000000000001E-2</v>
      </c>
      <c r="J32" s="102">
        <v>4.6399999999999997</v>
      </c>
      <c r="L32" s="100">
        <v>1.49E-2</v>
      </c>
      <c r="M32" s="102">
        <v>4.28</v>
      </c>
      <c r="O32">
        <f>L31</f>
        <v>1.9599999999999999E-2</v>
      </c>
      <c r="P32">
        <f>L34</f>
        <v>1.7899999999999999E-2</v>
      </c>
      <c r="Q32">
        <f>L37</f>
        <v>1.77E-2</v>
      </c>
      <c r="R32">
        <f>L40</f>
        <v>1.54E-2</v>
      </c>
    </row>
    <row r="33" spans="1:18">
      <c r="A33" s="103">
        <v>9</v>
      </c>
      <c r="B33" s="103">
        <v>6</v>
      </c>
      <c r="C33" s="103" t="s">
        <v>9</v>
      </c>
      <c r="D33" s="100">
        <v>1.21E-2</v>
      </c>
      <c r="E33" s="100">
        <v>3.78</v>
      </c>
      <c r="F33" s="104">
        <v>9</v>
      </c>
      <c r="G33" s="103">
        <v>6</v>
      </c>
      <c r="H33" s="103" t="s">
        <v>9</v>
      </c>
      <c r="I33" s="100">
        <v>1.1299999999999999E-2</v>
      </c>
      <c r="J33" s="102">
        <v>3.79</v>
      </c>
      <c r="L33" s="100">
        <v>5.1999999999999998E-3</v>
      </c>
      <c r="M33" s="102">
        <v>1.07</v>
      </c>
      <c r="O33">
        <f>M31</f>
        <v>4.7300000000000004</v>
      </c>
      <c r="P33">
        <f>M34</f>
        <v>4.3600000000000003</v>
      </c>
      <c r="Q33">
        <f>M37</f>
        <v>4.28</v>
      </c>
      <c r="R33">
        <f>M40</f>
        <v>3.79</v>
      </c>
    </row>
    <row r="34" spans="1:18">
      <c r="A34" s="99">
        <v>9</v>
      </c>
      <c r="B34" s="99">
        <v>9</v>
      </c>
      <c r="C34" s="99" t="s">
        <v>7</v>
      </c>
      <c r="D34" s="100">
        <v>7.1000000000000004E-3</v>
      </c>
      <c r="E34" s="100">
        <v>1.43</v>
      </c>
      <c r="F34" s="101">
        <v>9</v>
      </c>
      <c r="G34" s="99">
        <v>9</v>
      </c>
      <c r="H34" s="99" t="s">
        <v>7</v>
      </c>
      <c r="I34" s="100">
        <v>5.4000000000000003E-3</v>
      </c>
      <c r="J34" s="102">
        <v>1.1399999999999999</v>
      </c>
      <c r="L34" s="100">
        <v>1.7899999999999999E-2</v>
      </c>
      <c r="M34" s="102">
        <v>4.3600000000000003</v>
      </c>
      <c r="O34">
        <f>L32</f>
        <v>1.49E-2</v>
      </c>
      <c r="P34">
        <f>L35</f>
        <v>1.21E-2</v>
      </c>
      <c r="Q34">
        <f>L38</f>
        <v>9.5999999999999992E-3</v>
      </c>
      <c r="R34">
        <f>L41</f>
        <v>9.4000000000000004E-3</v>
      </c>
    </row>
    <row r="35" spans="1:18">
      <c r="A35" s="99">
        <v>9</v>
      </c>
      <c r="B35" s="99">
        <v>9</v>
      </c>
      <c r="C35" s="99" t="s">
        <v>8</v>
      </c>
      <c r="D35" s="100">
        <v>1.7600000000000001E-2</v>
      </c>
      <c r="E35" s="100">
        <v>4.3</v>
      </c>
      <c r="F35" s="101">
        <v>9</v>
      </c>
      <c r="G35" s="99">
        <v>9</v>
      </c>
      <c r="H35" s="99" t="s">
        <v>8</v>
      </c>
      <c r="I35" s="100">
        <v>1.61E-2</v>
      </c>
      <c r="J35" s="102">
        <v>4.49</v>
      </c>
      <c r="L35" s="100">
        <v>1.21E-2</v>
      </c>
      <c r="M35" s="102">
        <v>3.65</v>
      </c>
      <c r="O35">
        <f>M32</f>
        <v>4.28</v>
      </c>
      <c r="P35">
        <f>M35</f>
        <v>3.65</v>
      </c>
      <c r="Q35">
        <f>M38</f>
        <v>3.09</v>
      </c>
      <c r="R35">
        <f>M41</f>
        <v>2.31</v>
      </c>
    </row>
    <row r="36" spans="1:18">
      <c r="A36" s="103">
        <v>9</v>
      </c>
      <c r="B36" s="103">
        <v>9</v>
      </c>
      <c r="C36" s="103" t="s">
        <v>9</v>
      </c>
      <c r="D36" s="100">
        <v>1.0500000000000001E-2</v>
      </c>
      <c r="E36" s="100">
        <v>3.47</v>
      </c>
      <c r="F36" s="104">
        <v>9</v>
      </c>
      <c r="G36" s="103">
        <v>9</v>
      </c>
      <c r="H36" s="103" t="s">
        <v>9</v>
      </c>
      <c r="I36" s="100">
        <v>1.06E-2</v>
      </c>
      <c r="J36" s="102">
        <v>3.6</v>
      </c>
      <c r="L36" s="100">
        <v>5.4000000000000003E-3</v>
      </c>
      <c r="M36" s="102">
        <v>1.1299999999999999</v>
      </c>
    </row>
    <row r="37" spans="1:18">
      <c r="A37" s="99">
        <v>9</v>
      </c>
      <c r="B37" s="99">
        <v>12</v>
      </c>
      <c r="C37" s="99" t="s">
        <v>7</v>
      </c>
      <c r="D37" s="100">
        <v>6.1000000000000004E-3</v>
      </c>
      <c r="E37" s="100">
        <v>1.66</v>
      </c>
      <c r="F37" s="101">
        <v>9</v>
      </c>
      <c r="G37" s="99">
        <v>12</v>
      </c>
      <c r="H37" s="99" t="s">
        <v>7</v>
      </c>
      <c r="I37" s="100">
        <v>5.3E-3</v>
      </c>
      <c r="J37" s="102">
        <v>1.26</v>
      </c>
      <c r="L37" s="100">
        <v>1.77E-2</v>
      </c>
      <c r="M37" s="102">
        <v>4.28</v>
      </c>
    </row>
    <row r="38" spans="1:18">
      <c r="A38" s="99">
        <v>9</v>
      </c>
      <c r="B38" s="99">
        <v>12</v>
      </c>
      <c r="C38" s="99" t="s">
        <v>8</v>
      </c>
      <c r="D38" s="100">
        <v>1.6400000000000001E-2</v>
      </c>
      <c r="E38" s="100">
        <v>3.97</v>
      </c>
      <c r="F38" s="101">
        <v>9</v>
      </c>
      <c r="G38" s="99">
        <v>12</v>
      </c>
      <c r="H38" s="99" t="s">
        <v>8</v>
      </c>
      <c r="I38" s="100">
        <v>1.4999999999999999E-2</v>
      </c>
      <c r="J38" s="102">
        <v>4.2</v>
      </c>
      <c r="L38" s="100">
        <v>9.5999999999999992E-3</v>
      </c>
      <c r="M38" s="102">
        <v>3.09</v>
      </c>
    </row>
    <row r="39" spans="1:18">
      <c r="A39" s="103">
        <v>9</v>
      </c>
      <c r="B39" s="103">
        <v>12</v>
      </c>
      <c r="C39" s="103" t="s">
        <v>9</v>
      </c>
      <c r="D39" s="100">
        <v>9.1999999999999998E-3</v>
      </c>
      <c r="E39" s="100">
        <v>2.89</v>
      </c>
      <c r="F39" s="104">
        <v>9</v>
      </c>
      <c r="G39" s="103">
        <v>12</v>
      </c>
      <c r="H39" s="103" t="s">
        <v>9</v>
      </c>
      <c r="I39" s="100">
        <v>9.7000000000000003E-3</v>
      </c>
      <c r="J39" s="102">
        <v>3.39</v>
      </c>
      <c r="L39" s="100">
        <v>6.0000000000000001E-3</v>
      </c>
      <c r="M39" s="102">
        <v>1.36</v>
      </c>
    </row>
    <row r="40" spans="1:18">
      <c r="A40" s="99">
        <v>12</v>
      </c>
      <c r="B40" s="99">
        <v>3</v>
      </c>
      <c r="C40" s="99" t="s">
        <v>7</v>
      </c>
      <c r="D40" s="100">
        <v>6.0000000000000001E-3</v>
      </c>
      <c r="E40" s="100">
        <v>1.17</v>
      </c>
      <c r="F40" s="101">
        <v>12</v>
      </c>
      <c r="G40" s="99">
        <v>3</v>
      </c>
      <c r="H40" s="99" t="s">
        <v>7</v>
      </c>
      <c r="I40" s="100">
        <v>4.7999999999999996E-3</v>
      </c>
      <c r="J40" s="102">
        <v>0.96</v>
      </c>
      <c r="L40" s="100">
        <v>1.54E-2</v>
      </c>
      <c r="M40" s="102">
        <v>3.79</v>
      </c>
    </row>
    <row r="41" spans="1:18">
      <c r="A41" s="99">
        <v>12</v>
      </c>
      <c r="B41" s="99">
        <v>3</v>
      </c>
      <c r="C41" s="99" t="s">
        <v>8</v>
      </c>
      <c r="D41" s="100">
        <v>1.9199999999999998E-2</v>
      </c>
      <c r="E41" s="100">
        <v>4.63</v>
      </c>
      <c r="F41" s="101">
        <v>12</v>
      </c>
      <c r="G41" s="99">
        <v>3</v>
      </c>
      <c r="H41" s="99" t="s">
        <v>8</v>
      </c>
      <c r="I41" s="100">
        <v>1.9599999999999999E-2</v>
      </c>
      <c r="J41" s="102">
        <v>4.7300000000000004</v>
      </c>
      <c r="L41" s="100">
        <v>9.4000000000000004E-3</v>
      </c>
      <c r="M41" s="102">
        <v>2.31</v>
      </c>
    </row>
    <row r="42" spans="1:18">
      <c r="A42" s="103">
        <v>12</v>
      </c>
      <c r="B42" s="103">
        <v>3</v>
      </c>
      <c r="C42" s="103" t="s">
        <v>9</v>
      </c>
      <c r="D42" s="100">
        <v>1.3100000000000001E-2</v>
      </c>
      <c r="E42" s="100">
        <v>3.74</v>
      </c>
      <c r="F42" s="104">
        <v>12</v>
      </c>
      <c r="G42" s="103">
        <v>3</v>
      </c>
      <c r="H42" s="103" t="s">
        <v>9</v>
      </c>
      <c r="I42" s="100">
        <v>1.49E-2</v>
      </c>
      <c r="J42" s="102">
        <v>4.28</v>
      </c>
    </row>
    <row r="43" spans="1:18">
      <c r="A43" s="99">
        <v>12</v>
      </c>
      <c r="B43" s="99">
        <v>6</v>
      </c>
      <c r="C43" s="99" t="s">
        <v>7</v>
      </c>
      <c r="D43" s="100">
        <v>6.4999999999999997E-3</v>
      </c>
      <c r="E43" s="100">
        <v>1.29</v>
      </c>
      <c r="F43" s="101">
        <v>12</v>
      </c>
      <c r="G43" s="99">
        <v>6</v>
      </c>
      <c r="H43" s="99" t="s">
        <v>7</v>
      </c>
      <c r="I43" s="100">
        <v>5.1999999999999998E-3</v>
      </c>
      <c r="J43" s="102">
        <v>1.07</v>
      </c>
    </row>
    <row r="44" spans="1:18">
      <c r="A44" s="99">
        <v>12</v>
      </c>
      <c r="B44" s="99">
        <v>6</v>
      </c>
      <c r="C44" s="99" t="s">
        <v>8</v>
      </c>
      <c r="D44" s="100">
        <v>1.7899999999999999E-2</v>
      </c>
      <c r="E44" s="100">
        <v>4.3600000000000003</v>
      </c>
      <c r="F44" s="101">
        <v>12</v>
      </c>
      <c r="G44" s="99">
        <v>6</v>
      </c>
      <c r="H44" s="99" t="s">
        <v>8</v>
      </c>
      <c r="I44" s="100">
        <v>1.7899999999999999E-2</v>
      </c>
      <c r="J44" s="102">
        <v>4.3600000000000003</v>
      </c>
    </row>
    <row r="45" spans="1:18">
      <c r="A45" s="103">
        <v>12</v>
      </c>
      <c r="B45" s="103">
        <v>6</v>
      </c>
      <c r="C45" s="103" t="s">
        <v>9</v>
      </c>
      <c r="D45" s="100">
        <v>1.14E-2</v>
      </c>
      <c r="E45" s="100">
        <v>3.4</v>
      </c>
      <c r="F45" s="104">
        <v>12</v>
      </c>
      <c r="G45" s="103">
        <v>6</v>
      </c>
      <c r="H45" s="103" t="s">
        <v>9</v>
      </c>
      <c r="I45" s="100">
        <v>1.21E-2</v>
      </c>
      <c r="J45" s="102">
        <v>3.65</v>
      </c>
    </row>
    <row r="46" spans="1:18">
      <c r="A46" s="99">
        <v>12</v>
      </c>
      <c r="B46" s="99">
        <v>9</v>
      </c>
      <c r="C46" s="99" t="s">
        <v>7</v>
      </c>
      <c r="D46" s="100">
        <v>7.4999999999999997E-3</v>
      </c>
      <c r="E46" s="100">
        <v>1.48</v>
      </c>
      <c r="F46" s="101">
        <v>12</v>
      </c>
      <c r="G46" s="99">
        <v>9</v>
      </c>
      <c r="H46" s="99" t="s">
        <v>7</v>
      </c>
      <c r="I46" s="100">
        <v>5.4000000000000003E-3</v>
      </c>
      <c r="J46" s="102">
        <v>1.1299999999999999</v>
      </c>
    </row>
    <row r="47" spans="1:18">
      <c r="A47" s="99">
        <v>12</v>
      </c>
      <c r="B47" s="99">
        <v>9</v>
      </c>
      <c r="C47" s="99" t="s">
        <v>8</v>
      </c>
      <c r="D47" s="100">
        <v>1.6799999999999999E-2</v>
      </c>
      <c r="E47" s="100">
        <v>4.0999999999999996</v>
      </c>
      <c r="F47" s="101">
        <v>12</v>
      </c>
      <c r="G47" s="99">
        <v>9</v>
      </c>
      <c r="H47" s="99" t="s">
        <v>8</v>
      </c>
      <c r="I47" s="100">
        <v>1.77E-2</v>
      </c>
      <c r="J47" s="102">
        <v>4.28</v>
      </c>
    </row>
    <row r="48" spans="1:18">
      <c r="A48" s="103">
        <v>12</v>
      </c>
      <c r="B48" s="103">
        <v>9</v>
      </c>
      <c r="C48" s="103" t="s">
        <v>9</v>
      </c>
      <c r="D48" s="100">
        <v>9.2999999999999992E-3</v>
      </c>
      <c r="E48" s="100">
        <v>2.95</v>
      </c>
      <c r="F48" s="104">
        <v>12</v>
      </c>
      <c r="G48" s="103">
        <v>9</v>
      </c>
      <c r="H48" s="103" t="s">
        <v>9</v>
      </c>
      <c r="I48" s="100">
        <v>9.5999999999999992E-3</v>
      </c>
      <c r="J48" s="102">
        <v>3.09</v>
      </c>
    </row>
    <row r="49" spans="1:10">
      <c r="A49" s="99">
        <v>12</v>
      </c>
      <c r="B49" s="99">
        <v>12</v>
      </c>
      <c r="C49" s="99" t="s">
        <v>7</v>
      </c>
      <c r="D49" s="100">
        <v>8.6999999999999994E-3</v>
      </c>
      <c r="E49" s="100">
        <v>1.74</v>
      </c>
      <c r="F49" s="101">
        <v>12</v>
      </c>
      <c r="G49" s="99">
        <v>12</v>
      </c>
      <c r="H49" s="99" t="s">
        <v>7</v>
      </c>
      <c r="I49" s="100">
        <v>6.0000000000000001E-3</v>
      </c>
      <c r="J49" s="102">
        <v>1.36</v>
      </c>
    </row>
    <row r="50" spans="1:10">
      <c r="A50" s="99">
        <v>12</v>
      </c>
      <c r="B50" s="99">
        <v>12</v>
      </c>
      <c r="C50" s="99" t="s">
        <v>8</v>
      </c>
      <c r="D50" s="100">
        <v>1.55E-2</v>
      </c>
      <c r="E50" s="100">
        <v>3.81</v>
      </c>
      <c r="F50" s="101">
        <v>12</v>
      </c>
      <c r="G50" s="99">
        <v>12</v>
      </c>
      <c r="H50" s="99" t="s">
        <v>8</v>
      </c>
      <c r="I50" s="100">
        <v>1.54E-2</v>
      </c>
      <c r="J50" s="102">
        <v>3.79</v>
      </c>
    </row>
    <row r="51" spans="1:10">
      <c r="A51" s="105">
        <v>12</v>
      </c>
      <c r="B51" s="105">
        <v>12</v>
      </c>
      <c r="C51" s="105" t="s">
        <v>9</v>
      </c>
      <c r="D51" s="106">
        <v>6.7999999999999996E-3</v>
      </c>
      <c r="E51" s="106">
        <v>2.25</v>
      </c>
      <c r="F51" s="107">
        <v>12</v>
      </c>
      <c r="G51" s="105">
        <v>12</v>
      </c>
      <c r="H51" s="105" t="s">
        <v>9</v>
      </c>
      <c r="I51" s="106">
        <v>9.4000000000000004E-3</v>
      </c>
      <c r="J51" s="108">
        <v>2.31</v>
      </c>
    </row>
  </sheetData>
  <mergeCells count="22">
    <mergeCell ref="L17:L22"/>
    <mergeCell ref="M17:M18"/>
    <mergeCell ref="M19:M20"/>
    <mergeCell ref="M21:M22"/>
    <mergeCell ref="L23:L28"/>
    <mergeCell ref="M23:M24"/>
    <mergeCell ref="M25:M26"/>
    <mergeCell ref="M27:M28"/>
    <mergeCell ref="L5:L10"/>
    <mergeCell ref="M5:M6"/>
    <mergeCell ref="M7:M8"/>
    <mergeCell ref="M9:M10"/>
    <mergeCell ref="L11:L16"/>
    <mergeCell ref="M11:M12"/>
    <mergeCell ref="M13:M14"/>
    <mergeCell ref="M15:M16"/>
    <mergeCell ref="A1:J1"/>
    <mergeCell ref="A2:E2"/>
    <mergeCell ref="F2:J2"/>
    <mergeCell ref="L2:U2"/>
    <mergeCell ref="N3:Q3"/>
    <mergeCell ref="R3:U3"/>
  </mergeCells>
  <phoneticPr fontId="19" type="noConversion"/>
  <conditionalFormatting sqref="D3">
    <cfRule type="cellIs" dxfId="8" priority="8" operator="lessThan">
      <formula>0</formula>
    </cfRule>
    <cfRule type="cellIs" dxfId="7" priority="9" operator="greaterThan">
      <formula>0</formula>
    </cfRule>
  </conditionalFormatting>
  <conditionalFormatting sqref="I3">
    <cfRule type="cellIs" dxfId="6" priority="6" operator="lessThan">
      <formula>0</formula>
    </cfRule>
    <cfRule type="cellIs" dxfId="5" priority="7" operator="greaterThan">
      <formula>0</formula>
    </cfRule>
  </conditionalFormatting>
  <conditionalFormatting sqref="N12:U12 N18:U18 N24:U24 N14:U14 N20:U20 N26:U26 N16:U16 N22:U22 N28:U28">
    <cfRule type="cellIs" dxfId="4" priority="1" operator="between">
      <formula>-1.96</formula>
      <formula>1.96</formula>
    </cfRule>
    <cfRule type="cellIs" dxfId="3" priority="2" operator="notBetween">
      <formula>1.96</formula>
      <formula>-1.96</formula>
    </cfRule>
  </conditionalFormatting>
  <conditionalFormatting sqref="N5:U5 N7:U7 N9:U9 N11:U11 N13:U13 N15:U15 N17:U17 N19:U19 N21:U21 N23:U23 N25:U25 N27:U27">
    <cfRule type="expression" dxfId="2" priority="4">
      <formula>OR(N6&gt;1.96,N6&lt;-1.96)</formula>
    </cfRule>
  </conditionalFormatting>
  <conditionalFormatting sqref="N6:U6 N8:U8 N10:U10">
    <cfRule type="cellIs" dxfId="1" priority="3" operator="between">
      <formula>-1.96</formula>
      <formula>1.96</formula>
    </cfRule>
    <cfRule type="cellIs" dxfId="0" priority="5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W59"/>
  <sheetViews>
    <sheetView topLeftCell="F1" zoomScaleNormal="100" workbookViewId="0">
      <pane ySplit="2" topLeftCell="A3" activePane="bottomLeft" state="frozen"/>
      <selection activeCell="G60" sqref="G60"/>
      <selection pane="bottomLeft" activeCell="N7" sqref="N7"/>
    </sheetView>
  </sheetViews>
  <sheetFormatPr defaultRowHeight="16.5"/>
  <cols>
    <col min="1" max="2" width="12.625" style="8" bestFit="1" customWidth="1"/>
    <col min="3" max="3" width="12.5" style="8" bestFit="1" customWidth="1"/>
    <col min="4" max="4" width="6.875" style="8" bestFit="1" customWidth="1"/>
    <col min="5" max="5" width="10.5" style="13" bestFit="1" customWidth="1"/>
    <col min="6" max="6" width="10.625" style="8" bestFit="1" customWidth="1"/>
    <col min="7" max="7" width="12.875" style="8" bestFit="1" customWidth="1"/>
    <col min="8" max="8" width="13.875" style="31" bestFit="1" customWidth="1"/>
    <col min="9" max="9" width="11.625" style="31" bestFit="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23">
      <c r="A1" s="69" t="s">
        <v>27</v>
      </c>
      <c r="B1" s="69"/>
      <c r="C1" s="69"/>
      <c r="D1" s="69"/>
      <c r="E1" s="69"/>
      <c r="F1" s="69"/>
      <c r="G1" s="69"/>
      <c r="H1" s="69"/>
      <c r="I1" s="69"/>
    </row>
    <row r="2" spans="1:23" s="1" customFormat="1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23">
      <c r="A3" s="6">
        <v>3</v>
      </c>
      <c r="B3" s="6">
        <v>3</v>
      </c>
      <c r="C3" s="6" t="s">
        <v>7</v>
      </c>
      <c r="D3" s="6">
        <v>114</v>
      </c>
      <c r="E3" s="11">
        <v>3.0260421823129999E-4</v>
      </c>
      <c r="F3" s="9">
        <v>2.8355084394913299E-2</v>
      </c>
      <c r="G3" s="9">
        <v>0.97742896460482598</v>
      </c>
      <c r="H3" s="11">
        <f>(1 + E3)^(1 / B3) - 1</f>
        <v>1.0085790008584894E-4</v>
      </c>
      <c r="I3" s="11">
        <f>(1 + E3)^(12 / B3) - 1</f>
        <v>1.2109663996475728E-3</v>
      </c>
      <c r="K3" s="72" t="s">
        <v>27</v>
      </c>
      <c r="L3" s="73"/>
      <c r="M3" s="73"/>
      <c r="N3" s="73"/>
      <c r="O3" s="73"/>
      <c r="P3" s="74"/>
      <c r="Q3" s="1"/>
      <c r="R3" s="1"/>
      <c r="S3" s="1"/>
      <c r="T3" s="1"/>
      <c r="U3" s="1"/>
      <c r="V3" s="1"/>
      <c r="W3" s="1"/>
    </row>
    <row r="4" spans="1:23" ht="17.25" thickBot="1">
      <c r="A4" s="6">
        <v>3</v>
      </c>
      <c r="B4" s="6">
        <v>3</v>
      </c>
      <c r="C4" s="6" t="s">
        <v>8</v>
      </c>
      <c r="D4" s="6">
        <v>114</v>
      </c>
      <c r="E4" s="11">
        <v>3.0722210317410001E-2</v>
      </c>
      <c r="F4" s="9">
        <v>3.54698888875836</v>
      </c>
      <c r="G4" s="9">
        <v>5.6845064904419997E-4</v>
      </c>
      <c r="H4" s="11">
        <f t="shared" ref="H4:H50" si="0">(1 + E4)^(1 / B4) - 1</f>
        <v>1.0137618184604902E-2</v>
      </c>
      <c r="I4" s="11">
        <f t="shared" ref="I4:I50" si="1">(1 + E4)^(12 / B4) - 1</f>
        <v>0.12866884652092669</v>
      </c>
      <c r="K4" s="28" t="s">
        <v>11</v>
      </c>
      <c r="L4" s="22" t="s">
        <v>10</v>
      </c>
      <c r="M4" s="23">
        <v>3</v>
      </c>
      <c r="N4" s="23">
        <v>6</v>
      </c>
      <c r="O4" s="23">
        <v>9</v>
      </c>
      <c r="P4" s="29">
        <v>12</v>
      </c>
    </row>
    <row r="5" spans="1:23">
      <c r="A5" s="5">
        <v>3</v>
      </c>
      <c r="B5" s="5">
        <v>3</v>
      </c>
      <c r="C5" s="6" t="s">
        <v>9</v>
      </c>
      <c r="D5" s="6">
        <v>114</v>
      </c>
      <c r="E5" s="11">
        <v>3.0419606099178698E-2</v>
      </c>
      <c r="F5" s="9">
        <v>3.5780818191419801</v>
      </c>
      <c r="G5" s="9">
        <v>5.1106356269530005E-4</v>
      </c>
      <c r="H5" s="11">
        <f t="shared" si="0"/>
        <v>1.0038754876398048E-2</v>
      </c>
      <c r="I5" s="11">
        <f t="shared" si="1"/>
        <v>0.12734399071154945</v>
      </c>
      <c r="K5" s="75">
        <v>3</v>
      </c>
      <c r="L5" s="76" t="s">
        <v>7</v>
      </c>
      <c r="M5" s="18">
        <v>3.0260421823129999E-4</v>
      </c>
      <c r="N5" s="18">
        <v>1.51301049852723E-2</v>
      </c>
      <c r="O5" s="18">
        <v>1.51244575442856E-2</v>
      </c>
      <c r="P5" s="25">
        <v>2.3280515551955899E-2</v>
      </c>
    </row>
    <row r="6" spans="1:23">
      <c r="A6" s="7">
        <v>3</v>
      </c>
      <c r="B6" s="7">
        <v>6</v>
      </c>
      <c r="C6" s="7" t="s">
        <v>7</v>
      </c>
      <c r="D6" s="7">
        <v>111</v>
      </c>
      <c r="E6" s="12">
        <v>1.51301049852723E-2</v>
      </c>
      <c r="F6" s="10">
        <v>1.1443893939324601</v>
      </c>
      <c r="G6" s="10">
        <v>0.25494625406830401</v>
      </c>
      <c r="H6" s="12">
        <f t="shared" si="0"/>
        <v>2.5059323679579304E-3</v>
      </c>
      <c r="I6" s="12">
        <f t="shared" si="1"/>
        <v>3.048913004740994E-2</v>
      </c>
      <c r="K6" s="62"/>
      <c r="L6" s="65"/>
      <c r="M6" s="19">
        <v>-0.03</v>
      </c>
      <c r="N6" s="19">
        <v>1.1399999999999999</v>
      </c>
      <c r="O6" s="19">
        <v>0.96</v>
      </c>
      <c r="P6" s="24">
        <v>1.1599999999999999</v>
      </c>
    </row>
    <row r="7" spans="1:23">
      <c r="A7" s="7">
        <v>3</v>
      </c>
      <c r="B7" s="7">
        <v>6</v>
      </c>
      <c r="C7" s="7" t="s">
        <v>8</v>
      </c>
      <c r="D7" s="7">
        <v>111</v>
      </c>
      <c r="E7" s="12">
        <v>6.5631060309720005E-2</v>
      </c>
      <c r="F7" s="10">
        <v>4.6891959760591497</v>
      </c>
      <c r="G7" s="10">
        <v>7.9232025762956804E-6</v>
      </c>
      <c r="H7" s="12">
        <f t="shared" si="0"/>
        <v>1.0650848828871684E-2</v>
      </c>
      <c r="I7" s="12">
        <f t="shared" si="1"/>
        <v>0.13556955669681825</v>
      </c>
      <c r="K7" s="62"/>
      <c r="L7" s="66" t="s">
        <v>8</v>
      </c>
      <c r="M7" s="18">
        <v>3.0722210317410001E-2</v>
      </c>
      <c r="N7" s="18">
        <v>6.5631060309720005E-2</v>
      </c>
      <c r="O7" s="18">
        <v>9.0526528336692905E-2</v>
      </c>
      <c r="P7" s="25">
        <v>9.33097832882889E-2</v>
      </c>
    </row>
    <row r="8" spans="1:23">
      <c r="A8" s="2">
        <v>3</v>
      </c>
      <c r="B8" s="2">
        <v>6</v>
      </c>
      <c r="C8" s="7" t="s">
        <v>9</v>
      </c>
      <c r="D8" s="7">
        <v>111</v>
      </c>
      <c r="E8" s="12">
        <v>5.0500955324447698E-2</v>
      </c>
      <c r="F8" s="10">
        <v>3.8236782043989401</v>
      </c>
      <c r="G8" s="10">
        <v>2.184178713642E-4</v>
      </c>
      <c r="H8" s="12">
        <f t="shared" si="0"/>
        <v>8.2449960801396216E-3</v>
      </c>
      <c r="I8" s="12">
        <f t="shared" si="1"/>
        <v>0.10355225713757732</v>
      </c>
      <c r="K8" s="62"/>
      <c r="L8" s="65"/>
      <c r="M8" s="19">
        <v>3.55</v>
      </c>
      <c r="N8" s="19">
        <v>4.6900000000000004</v>
      </c>
      <c r="O8" s="19">
        <v>5.15</v>
      </c>
      <c r="P8" s="24">
        <v>4.41</v>
      </c>
    </row>
    <row r="9" spans="1:23">
      <c r="A9" s="6">
        <v>3</v>
      </c>
      <c r="B9" s="6">
        <v>9</v>
      </c>
      <c r="C9" s="6" t="s">
        <v>7</v>
      </c>
      <c r="D9" s="6">
        <v>108</v>
      </c>
      <c r="E9" s="11">
        <v>1.51244575442856E-2</v>
      </c>
      <c r="F9" s="9">
        <v>0.95653052500906299</v>
      </c>
      <c r="G9" s="9">
        <v>0.34096046080184</v>
      </c>
      <c r="H9" s="11">
        <f t="shared" si="0"/>
        <v>1.669305435814783E-3</v>
      </c>
      <c r="I9" s="11">
        <f t="shared" si="1"/>
        <v>2.0216606769791312E-2</v>
      </c>
      <c r="K9" s="62"/>
      <c r="L9" s="67" t="s">
        <v>9</v>
      </c>
      <c r="M9" s="18">
        <v>3.0419606099178698E-2</v>
      </c>
      <c r="N9" s="18">
        <v>5.0500955324447698E-2</v>
      </c>
      <c r="O9" s="18">
        <v>7.5402070792407294E-2</v>
      </c>
      <c r="P9" s="25">
        <v>7.0029267736333001E-2</v>
      </c>
    </row>
    <row r="10" spans="1:23">
      <c r="A10" s="6">
        <v>3</v>
      </c>
      <c r="B10" s="6">
        <v>9</v>
      </c>
      <c r="C10" s="6" t="s">
        <v>8</v>
      </c>
      <c r="D10" s="6">
        <v>108</v>
      </c>
      <c r="E10" s="11">
        <v>9.0526528336692905E-2</v>
      </c>
      <c r="F10" s="9">
        <v>5.1462038766068803</v>
      </c>
      <c r="G10" s="9">
        <v>1.2141876138480901E-6</v>
      </c>
      <c r="H10" s="11">
        <f t="shared" si="0"/>
        <v>9.6754668177969627E-3</v>
      </c>
      <c r="I10" s="11">
        <f t="shared" si="1"/>
        <v>0.12248784361900267</v>
      </c>
      <c r="K10" s="70"/>
      <c r="L10" s="71"/>
      <c r="M10" s="20">
        <v>3.58</v>
      </c>
      <c r="N10" s="20">
        <v>3.82</v>
      </c>
      <c r="O10" s="20">
        <v>4.49</v>
      </c>
      <c r="P10" s="30">
        <v>3.39</v>
      </c>
    </row>
    <row r="11" spans="1:23">
      <c r="A11" s="5">
        <v>3</v>
      </c>
      <c r="B11" s="5">
        <v>9</v>
      </c>
      <c r="C11" s="6" t="s">
        <v>9</v>
      </c>
      <c r="D11" s="6">
        <v>108</v>
      </c>
      <c r="E11" s="11">
        <v>7.5402070792407294E-2</v>
      </c>
      <c r="F11" s="9">
        <v>4.4945377822361303</v>
      </c>
      <c r="G11" s="9">
        <v>1.7724280876774E-5</v>
      </c>
      <c r="H11" s="11">
        <f t="shared" si="0"/>
        <v>8.1098874141820598E-3</v>
      </c>
      <c r="I11" s="11">
        <f t="shared" si="1"/>
        <v>0.1017790020240632</v>
      </c>
      <c r="K11" s="61">
        <v>6</v>
      </c>
      <c r="L11" s="64" t="s">
        <v>7</v>
      </c>
      <c r="M11" s="18">
        <v>4.7735012474096001E-3</v>
      </c>
      <c r="N11" s="18">
        <v>1.89783044088855E-2</v>
      </c>
      <c r="O11" s="18">
        <v>1.99711867006667E-2</v>
      </c>
      <c r="P11" s="25">
        <v>3.0649711185840801E-2</v>
      </c>
    </row>
    <row r="12" spans="1:23">
      <c r="A12" s="7">
        <v>3</v>
      </c>
      <c r="B12" s="7">
        <v>12</v>
      </c>
      <c r="C12" s="7" t="s">
        <v>7</v>
      </c>
      <c r="D12" s="7">
        <v>105</v>
      </c>
      <c r="E12" s="12">
        <v>2.3280515551955899E-2</v>
      </c>
      <c r="F12" s="10">
        <v>1.1620071159640999</v>
      </c>
      <c r="G12" s="10">
        <v>0.24789234222405299</v>
      </c>
      <c r="H12" s="12">
        <f t="shared" si="0"/>
        <v>1.9196450082001881E-3</v>
      </c>
      <c r="I12" s="12">
        <f t="shared" si="1"/>
        <v>2.3280515551955983E-2</v>
      </c>
      <c r="K12" s="62"/>
      <c r="L12" s="65"/>
      <c r="M12" s="19">
        <v>0.45</v>
      </c>
      <c r="N12" s="19">
        <v>1.35</v>
      </c>
      <c r="O12" s="19">
        <v>1.2</v>
      </c>
      <c r="P12" s="24">
        <v>1.53</v>
      </c>
    </row>
    <row r="13" spans="1:23">
      <c r="A13" s="7">
        <v>3</v>
      </c>
      <c r="B13" s="7">
        <v>12</v>
      </c>
      <c r="C13" s="7" t="s">
        <v>8</v>
      </c>
      <c r="D13" s="7">
        <v>105</v>
      </c>
      <c r="E13" s="12">
        <v>9.33097832882889E-2</v>
      </c>
      <c r="F13" s="10">
        <v>4.4123635783784998</v>
      </c>
      <c r="G13" s="10">
        <v>2.5034503907783899E-5</v>
      </c>
      <c r="H13" s="12">
        <f t="shared" si="0"/>
        <v>7.4618345874273295E-3</v>
      </c>
      <c r="I13" s="12">
        <f t="shared" si="1"/>
        <v>9.3309783288288983E-2</v>
      </c>
      <c r="K13" s="62"/>
      <c r="L13" s="66" t="s">
        <v>8</v>
      </c>
      <c r="M13" s="18">
        <v>2.7115683765055399E-2</v>
      </c>
      <c r="N13" s="18">
        <v>5.4315765000363898E-2</v>
      </c>
      <c r="O13" s="18">
        <v>6.03256929965394E-2</v>
      </c>
      <c r="P13" s="25">
        <v>5.3065850483251402E-2</v>
      </c>
    </row>
    <row r="14" spans="1:23">
      <c r="A14" s="2">
        <v>3</v>
      </c>
      <c r="B14" s="2">
        <v>12</v>
      </c>
      <c r="C14" s="7" t="s">
        <v>9</v>
      </c>
      <c r="D14" s="7">
        <v>105</v>
      </c>
      <c r="E14" s="12">
        <v>7.0029267736333001E-2</v>
      </c>
      <c r="F14" s="10">
        <v>3.3910500846225302</v>
      </c>
      <c r="G14" s="10">
        <v>9.8533179837500011E-4</v>
      </c>
      <c r="H14" s="12">
        <f t="shared" si="0"/>
        <v>5.6564376655499071E-3</v>
      </c>
      <c r="I14" s="12">
        <f t="shared" si="1"/>
        <v>7.0029267736333001E-2</v>
      </c>
      <c r="K14" s="62"/>
      <c r="L14" s="65"/>
      <c r="M14" s="19">
        <v>3.14</v>
      </c>
      <c r="N14" s="19">
        <v>4.18</v>
      </c>
      <c r="O14" s="19">
        <v>3.61</v>
      </c>
      <c r="P14" s="24">
        <v>2.67</v>
      </c>
    </row>
    <row r="15" spans="1:23">
      <c r="A15" s="6">
        <v>6</v>
      </c>
      <c r="B15" s="6">
        <v>3</v>
      </c>
      <c r="C15" s="6" t="s">
        <v>7</v>
      </c>
      <c r="D15" s="6">
        <v>111</v>
      </c>
      <c r="E15" s="11">
        <v>4.7735012474096001E-3</v>
      </c>
      <c r="F15" s="9">
        <v>0.44911286122773603</v>
      </c>
      <c r="G15" s="9">
        <v>0.65423383389473</v>
      </c>
      <c r="H15" s="11">
        <f t="shared" si="0"/>
        <v>1.5886419627213488E-3</v>
      </c>
      <c r="I15" s="11">
        <f t="shared" si="1"/>
        <v>1.9231158475804699E-2</v>
      </c>
      <c r="K15" s="62"/>
      <c r="L15" s="67" t="s">
        <v>9</v>
      </c>
      <c r="M15" s="18">
        <v>2.23421825176458E-2</v>
      </c>
      <c r="N15" s="18">
        <v>3.5337460591478298E-2</v>
      </c>
      <c r="O15" s="18">
        <v>4.0354506295872603E-2</v>
      </c>
      <c r="P15" s="25">
        <v>2.2416139297410601E-2</v>
      </c>
    </row>
    <row r="16" spans="1:23">
      <c r="A16" s="6">
        <v>6</v>
      </c>
      <c r="B16" s="6">
        <v>3</v>
      </c>
      <c r="C16" s="6" t="s">
        <v>8</v>
      </c>
      <c r="D16" s="6">
        <v>111</v>
      </c>
      <c r="E16" s="11">
        <v>2.7115683765055399E-2</v>
      </c>
      <c r="F16" s="9">
        <v>3.13615113483938</v>
      </c>
      <c r="G16" s="9">
        <v>2.1961835765053998E-3</v>
      </c>
      <c r="H16" s="11">
        <f t="shared" si="0"/>
        <v>8.9580745357971114E-3</v>
      </c>
      <c r="I16" s="11">
        <f t="shared" si="1"/>
        <v>0.11295458584799345</v>
      </c>
      <c r="K16" s="70"/>
      <c r="L16" s="71"/>
      <c r="M16" s="20">
        <v>2.69</v>
      </c>
      <c r="N16" s="20">
        <v>2.98</v>
      </c>
      <c r="O16" s="20">
        <v>2.71</v>
      </c>
      <c r="P16" s="30">
        <v>1.26</v>
      </c>
    </row>
    <row r="17" spans="1:23">
      <c r="A17" s="5">
        <v>6</v>
      </c>
      <c r="B17" s="5">
        <v>3</v>
      </c>
      <c r="C17" s="6" t="s">
        <v>9</v>
      </c>
      <c r="D17" s="6">
        <v>111</v>
      </c>
      <c r="E17" s="11">
        <v>2.23421825176458E-2</v>
      </c>
      <c r="F17" s="9">
        <v>2.6870396316370502</v>
      </c>
      <c r="G17" s="9">
        <v>8.3279350537053005E-3</v>
      </c>
      <c r="H17" s="11">
        <f t="shared" si="0"/>
        <v>7.3926088368039267E-3</v>
      </c>
      <c r="I17" s="11">
        <f t="shared" si="1"/>
        <v>9.2408628430085793E-2</v>
      </c>
      <c r="K17" s="61">
        <v>9</v>
      </c>
      <c r="L17" s="64" t="s">
        <v>7</v>
      </c>
      <c r="M17" s="18">
        <v>5.9719290995810005E-4</v>
      </c>
      <c r="N17" s="18">
        <v>6.1873933427599999E-4</v>
      </c>
      <c r="O17" s="18">
        <v>1.523367447362E-3</v>
      </c>
      <c r="P17" s="25">
        <v>1.5399793559194999E-2</v>
      </c>
    </row>
    <row r="18" spans="1:23">
      <c r="A18" s="7">
        <v>6</v>
      </c>
      <c r="B18" s="7">
        <v>6</v>
      </c>
      <c r="C18" s="7" t="s">
        <v>7</v>
      </c>
      <c r="D18" s="7">
        <v>108</v>
      </c>
      <c r="E18" s="12">
        <v>1.89783044088855E-2</v>
      </c>
      <c r="F18" s="10">
        <v>1.34747042886984</v>
      </c>
      <c r="G18" s="10">
        <v>0.18067514945157101</v>
      </c>
      <c r="H18" s="12">
        <f t="shared" si="0"/>
        <v>3.1383247542779991E-3</v>
      </c>
      <c r="I18" s="12">
        <f t="shared" si="1"/>
        <v>3.8316784856007535E-2</v>
      </c>
      <c r="K18" s="62"/>
      <c r="L18" s="65"/>
      <c r="M18" s="19">
        <v>0.05</v>
      </c>
      <c r="N18" s="19">
        <v>0.04</v>
      </c>
      <c r="O18" s="19">
        <v>0.09</v>
      </c>
      <c r="P18" s="24">
        <v>0.79</v>
      </c>
    </row>
    <row r="19" spans="1:23">
      <c r="A19" s="7">
        <v>6</v>
      </c>
      <c r="B19" s="7">
        <v>6</v>
      </c>
      <c r="C19" s="7" t="s">
        <v>8</v>
      </c>
      <c r="D19" s="7">
        <v>108</v>
      </c>
      <c r="E19" s="12">
        <v>5.4315765000363898E-2</v>
      </c>
      <c r="F19" s="10">
        <v>4.1771525637975904</v>
      </c>
      <c r="G19" s="10">
        <v>6.0419980721123302E-5</v>
      </c>
      <c r="H19" s="12">
        <f t="shared" si="0"/>
        <v>8.8543015551387771E-3</v>
      </c>
      <c r="I19" s="12">
        <f t="shared" si="1"/>
        <v>0.11158173232830237</v>
      </c>
      <c r="K19" s="62"/>
      <c r="L19" s="66" t="s">
        <v>8</v>
      </c>
      <c r="M19" s="18">
        <v>2.8474975298435901E-2</v>
      </c>
      <c r="N19" s="18">
        <v>4.1623593254200397E-2</v>
      </c>
      <c r="O19" s="18">
        <v>4.0294606718451698E-2</v>
      </c>
      <c r="P19" s="25">
        <v>4.1963339851818701E-2</v>
      </c>
    </row>
    <row r="20" spans="1:23">
      <c r="A20" s="2">
        <v>6</v>
      </c>
      <c r="B20" s="2">
        <v>6</v>
      </c>
      <c r="C20" s="7" t="s">
        <v>9</v>
      </c>
      <c r="D20" s="7">
        <v>108</v>
      </c>
      <c r="E20" s="12">
        <v>3.5337460591478298E-2</v>
      </c>
      <c r="F20" s="10">
        <v>2.98291024159405</v>
      </c>
      <c r="G20" s="10">
        <v>3.5367985366198001E-3</v>
      </c>
      <c r="H20" s="12">
        <f t="shared" si="0"/>
        <v>5.804686019913019E-3</v>
      </c>
      <c r="I20" s="12">
        <f t="shared" si="1"/>
        <v>7.1923657304010735E-2</v>
      </c>
      <c r="K20" s="62"/>
      <c r="L20" s="65"/>
      <c r="M20" s="19">
        <v>3.23</v>
      </c>
      <c r="N20" s="19">
        <v>3.18</v>
      </c>
      <c r="O20" s="19">
        <v>2.48</v>
      </c>
      <c r="P20" s="24">
        <v>1.98</v>
      </c>
    </row>
    <row r="21" spans="1:23">
      <c r="A21" s="6">
        <v>6</v>
      </c>
      <c r="B21" s="6">
        <v>9</v>
      </c>
      <c r="C21" s="6" t="s">
        <v>7</v>
      </c>
      <c r="D21" s="6">
        <v>105</v>
      </c>
      <c r="E21" s="11">
        <v>1.99711867006667E-2</v>
      </c>
      <c r="F21" s="9">
        <v>1.20457814144487</v>
      </c>
      <c r="G21" s="9">
        <v>0.231100321207518</v>
      </c>
      <c r="H21" s="11">
        <f t="shared" si="0"/>
        <v>2.1995686836266959E-3</v>
      </c>
      <c r="I21" s="11">
        <f t="shared" si="1"/>
        <v>2.6716491771458628E-2</v>
      </c>
      <c r="K21" s="62"/>
      <c r="L21" s="67" t="s">
        <v>9</v>
      </c>
      <c r="M21" s="18">
        <v>2.7877782388477702E-2</v>
      </c>
      <c r="N21" s="18">
        <v>4.1004853919924297E-2</v>
      </c>
      <c r="O21" s="18">
        <v>3.8771239271089601E-2</v>
      </c>
      <c r="P21" s="25">
        <v>2.6563546292623599E-2</v>
      </c>
    </row>
    <row r="22" spans="1:23">
      <c r="A22" s="6">
        <v>6</v>
      </c>
      <c r="B22" s="6">
        <v>9</v>
      </c>
      <c r="C22" s="6" t="s">
        <v>8</v>
      </c>
      <c r="D22" s="6">
        <v>105</v>
      </c>
      <c r="E22" s="11">
        <v>6.03256929965394E-2</v>
      </c>
      <c r="F22" s="9">
        <v>3.6065100358000701</v>
      </c>
      <c r="G22" s="9">
        <v>4.7856639655370002E-4</v>
      </c>
      <c r="H22" s="11">
        <f t="shared" si="0"/>
        <v>6.5296836430313032E-3</v>
      </c>
      <c r="I22" s="11">
        <f t="shared" si="1"/>
        <v>8.123238878088701E-2</v>
      </c>
      <c r="K22" s="70"/>
      <c r="L22" s="71"/>
      <c r="M22" s="20">
        <v>2.89</v>
      </c>
      <c r="N22" s="20">
        <v>3.27</v>
      </c>
      <c r="O22" s="20">
        <v>2.48</v>
      </c>
      <c r="P22" s="30">
        <v>1.37</v>
      </c>
    </row>
    <row r="23" spans="1:23">
      <c r="A23" s="5">
        <v>6</v>
      </c>
      <c r="B23" s="5">
        <v>9</v>
      </c>
      <c r="C23" s="6" t="s">
        <v>9</v>
      </c>
      <c r="D23" s="6">
        <v>105</v>
      </c>
      <c r="E23" s="11">
        <v>4.0354506295872603E-2</v>
      </c>
      <c r="F23" s="9">
        <v>2.7064255503855201</v>
      </c>
      <c r="G23" s="9">
        <v>7.9506872459265999E-3</v>
      </c>
      <c r="H23" s="11">
        <f t="shared" si="0"/>
        <v>4.4054005390099515E-3</v>
      </c>
      <c r="I23" s="11">
        <f t="shared" si="1"/>
        <v>5.4164702361040984E-2</v>
      </c>
      <c r="K23" s="61">
        <v>12</v>
      </c>
      <c r="L23" s="64" t="s">
        <v>7</v>
      </c>
      <c r="M23" s="18">
        <v>-6.2206069450507998E-3</v>
      </c>
      <c r="N23" s="18">
        <v>-6.9457633388909999E-4</v>
      </c>
      <c r="O23" s="18">
        <v>1.7274350360729E-2</v>
      </c>
      <c r="P23" s="25">
        <v>4.7582304856785398E-2</v>
      </c>
    </row>
    <row r="24" spans="1:23">
      <c r="A24" s="7">
        <v>6</v>
      </c>
      <c r="B24" s="7">
        <v>12</v>
      </c>
      <c r="C24" s="7" t="s">
        <v>7</v>
      </c>
      <c r="D24" s="7">
        <v>102</v>
      </c>
      <c r="E24" s="12">
        <v>3.0649711185840801E-2</v>
      </c>
      <c r="F24" s="10">
        <v>1.5309333480479801</v>
      </c>
      <c r="G24" s="10">
        <v>0.12891208974354801</v>
      </c>
      <c r="H24" s="12">
        <f t="shared" si="0"/>
        <v>2.5189498146063194E-3</v>
      </c>
      <c r="I24" s="12">
        <f t="shared" si="1"/>
        <v>3.0649711185840811E-2</v>
      </c>
      <c r="K24" s="62"/>
      <c r="L24" s="65"/>
      <c r="M24" s="19">
        <v>-0.54</v>
      </c>
      <c r="N24" s="19">
        <v>-0.05</v>
      </c>
      <c r="O24" s="19">
        <v>0.97</v>
      </c>
      <c r="P24" s="24">
        <v>2.13</v>
      </c>
    </row>
    <row r="25" spans="1:23">
      <c r="A25" s="7">
        <v>6</v>
      </c>
      <c r="B25" s="7">
        <v>12</v>
      </c>
      <c r="C25" s="7" t="s">
        <v>8</v>
      </c>
      <c r="D25" s="7">
        <v>102</v>
      </c>
      <c r="E25" s="12">
        <v>5.3065850483251402E-2</v>
      </c>
      <c r="F25" s="10">
        <v>2.6749590287444098</v>
      </c>
      <c r="G25" s="10">
        <v>8.7196464352812999E-3</v>
      </c>
      <c r="H25" s="12">
        <f t="shared" si="0"/>
        <v>4.318110224974081E-3</v>
      </c>
      <c r="I25" s="12">
        <f t="shared" si="1"/>
        <v>5.3065850483251298E-2</v>
      </c>
      <c r="K25" s="62"/>
      <c r="L25" s="66" t="s">
        <v>8</v>
      </c>
      <c r="M25" s="18">
        <v>1.55610672921839E-2</v>
      </c>
      <c r="N25" s="18">
        <v>2.14332070845108E-2</v>
      </c>
      <c r="O25" s="18">
        <v>3.3700752615642197E-2</v>
      </c>
      <c r="P25" s="25">
        <v>5.05347405509049E-2</v>
      </c>
    </row>
    <row r="26" spans="1:23">
      <c r="A26" s="7">
        <v>6</v>
      </c>
      <c r="B26" s="7">
        <v>12</v>
      </c>
      <c r="C26" s="7" t="s">
        <v>9</v>
      </c>
      <c r="D26" s="7">
        <v>102</v>
      </c>
      <c r="E26" s="12">
        <v>2.2416139297410601E-2</v>
      </c>
      <c r="F26" s="10">
        <v>1.2647026514538</v>
      </c>
      <c r="G26" s="10">
        <v>0.208888402471089</v>
      </c>
      <c r="H26" s="12">
        <f t="shared" si="0"/>
        <v>1.8490899802272587E-3</v>
      </c>
      <c r="I26" s="12">
        <f t="shared" si="1"/>
        <v>2.2416139297410709E-2</v>
      </c>
      <c r="K26" s="62"/>
      <c r="L26" s="65"/>
      <c r="M26" s="19">
        <v>1.77</v>
      </c>
      <c r="N26" s="19">
        <v>1.59</v>
      </c>
      <c r="O26" s="19">
        <v>1.91</v>
      </c>
      <c r="P26" s="24">
        <v>2.25</v>
      </c>
    </row>
    <row r="27" spans="1:23">
      <c r="A27" s="6">
        <v>9</v>
      </c>
      <c r="B27" s="6">
        <v>3</v>
      </c>
      <c r="C27" s="6" t="s">
        <v>7</v>
      </c>
      <c r="D27" s="6">
        <v>108</v>
      </c>
      <c r="E27" s="11">
        <v>5.9719290995810005E-4</v>
      </c>
      <c r="F27" s="9">
        <v>5.2714981072726597E-2</v>
      </c>
      <c r="G27" s="9">
        <v>0.95805729432186704</v>
      </c>
      <c r="H27" s="11">
        <f t="shared" si="0"/>
        <v>1.9902468986443544E-4</v>
      </c>
      <c r="I27" s="11">
        <f t="shared" si="1"/>
        <v>2.390912328120498E-3</v>
      </c>
      <c r="K27" s="62"/>
      <c r="L27" s="67" t="s">
        <v>9</v>
      </c>
      <c r="M27" s="18">
        <v>2.1781674237234702E-2</v>
      </c>
      <c r="N27" s="18">
        <v>2.21277834183999E-2</v>
      </c>
      <c r="O27" s="18">
        <v>1.6426402254913201E-2</v>
      </c>
      <c r="P27" s="25">
        <v>2.9524356941194999E-3</v>
      </c>
    </row>
    <row r="28" spans="1:23">
      <c r="A28" s="6">
        <v>9</v>
      </c>
      <c r="B28" s="6">
        <v>3</v>
      </c>
      <c r="C28" s="6" t="s">
        <v>8</v>
      </c>
      <c r="D28" s="6">
        <v>108</v>
      </c>
      <c r="E28" s="11">
        <v>2.8474975298435901E-2</v>
      </c>
      <c r="F28" s="9">
        <v>3.2314643208591001</v>
      </c>
      <c r="G28" s="9">
        <v>1.6370331429953E-3</v>
      </c>
      <c r="H28" s="11">
        <f t="shared" si="0"/>
        <v>9.4029655482583685E-3</v>
      </c>
      <c r="I28" s="11">
        <f t="shared" si="1"/>
        <v>0.11885785673747939</v>
      </c>
      <c r="K28" s="63"/>
      <c r="L28" s="68"/>
      <c r="M28" s="26">
        <v>2.1800000000000002</v>
      </c>
      <c r="N28" s="26">
        <v>1.57</v>
      </c>
      <c r="O28" s="26">
        <v>0.93</v>
      </c>
      <c r="P28" s="27">
        <v>0.13</v>
      </c>
    </row>
    <row r="29" spans="1:23">
      <c r="A29" s="5">
        <v>9</v>
      </c>
      <c r="B29" s="5">
        <v>3</v>
      </c>
      <c r="C29" s="6" t="s">
        <v>9</v>
      </c>
      <c r="D29" s="6">
        <v>108</v>
      </c>
      <c r="E29" s="11">
        <v>2.7877782388477702E-2</v>
      </c>
      <c r="F29" s="9">
        <v>2.8904916757838102</v>
      </c>
      <c r="G29" s="9">
        <v>4.6583346619845003E-3</v>
      </c>
      <c r="H29" s="11">
        <f t="shared" si="0"/>
        <v>9.2075548603509638E-3</v>
      </c>
      <c r="I29" s="11">
        <f t="shared" si="1"/>
        <v>0.1162614212419717</v>
      </c>
      <c r="M29" s="16"/>
      <c r="N29" s="14"/>
      <c r="O29" s="14"/>
      <c r="P29" s="14"/>
    </row>
    <row r="30" spans="1:23">
      <c r="A30" s="7">
        <v>9</v>
      </c>
      <c r="B30" s="7">
        <v>6</v>
      </c>
      <c r="C30" s="7" t="s">
        <v>7</v>
      </c>
      <c r="D30" s="7">
        <v>105</v>
      </c>
      <c r="E30" s="12">
        <v>6.1873933427599999E-4</v>
      </c>
      <c r="F30" s="10">
        <v>4.4346786661663397E-2</v>
      </c>
      <c r="G30" s="10">
        <v>0.96471301456515401</v>
      </c>
      <c r="H30" s="12">
        <f t="shared" si="0"/>
        <v>1.0309664643015637E-4</v>
      </c>
      <c r="I30" s="12">
        <f t="shared" si="1"/>
        <v>1.2378615069157384E-3</v>
      </c>
      <c r="K30" s="72" t="s">
        <v>23</v>
      </c>
      <c r="L30" s="73"/>
      <c r="M30" s="73"/>
      <c r="N30" s="73"/>
      <c r="O30" s="73"/>
      <c r="P30" s="74"/>
      <c r="T30" s="16"/>
      <c r="U30" s="14"/>
      <c r="V30" s="14"/>
      <c r="W30" s="14"/>
    </row>
    <row r="31" spans="1:23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4.1623593254200397E-2</v>
      </c>
      <c r="F31" s="10">
        <v>3.1788306862105702</v>
      </c>
      <c r="G31" s="10">
        <v>1.9481016183373E-3</v>
      </c>
      <c r="H31" s="12">
        <f t="shared" si="0"/>
        <v>6.8199243521955832E-3</v>
      </c>
      <c r="I31" s="12">
        <f t="shared" si="1"/>
        <v>8.4979710023791899E-2</v>
      </c>
      <c r="K31" s="28" t="s">
        <v>11</v>
      </c>
      <c r="L31" s="22" t="s">
        <v>10</v>
      </c>
      <c r="M31" s="23">
        <v>3</v>
      </c>
      <c r="N31" s="23">
        <v>6</v>
      </c>
      <c r="O31" s="23">
        <v>9</v>
      </c>
      <c r="P31" s="29">
        <v>12</v>
      </c>
      <c r="T31" s="17"/>
      <c r="U31" s="15"/>
      <c r="V31" s="15"/>
      <c r="W31" s="15"/>
    </row>
    <row r="32" spans="1:23">
      <c r="A32" s="2">
        <v>9</v>
      </c>
      <c r="B32" s="2">
        <v>6</v>
      </c>
      <c r="C32" s="7" t="s">
        <v>9</v>
      </c>
      <c r="D32" s="7">
        <v>105</v>
      </c>
      <c r="E32" s="12">
        <v>4.1004853919924297E-2</v>
      </c>
      <c r="F32" s="10">
        <v>3.2691054510320399</v>
      </c>
      <c r="G32" s="10">
        <v>1.4631170676755001E-3</v>
      </c>
      <c r="H32" s="12">
        <f t="shared" si="0"/>
        <v>6.7202220963693549E-3</v>
      </c>
      <c r="I32" s="12">
        <f t="shared" si="1"/>
        <v>8.3691105884843076E-2</v>
      </c>
      <c r="K32" s="75">
        <v>3</v>
      </c>
      <c r="L32" s="76" t="s">
        <v>7</v>
      </c>
      <c r="M32" s="32">
        <v>1.0085790008584894E-4</v>
      </c>
      <c r="N32" s="32">
        <v>2.5059323679579304E-3</v>
      </c>
      <c r="O32" s="32">
        <v>1.669305435814783E-3</v>
      </c>
      <c r="P32" s="33">
        <v>1.9196450082001881E-3</v>
      </c>
      <c r="T32" s="16"/>
      <c r="U32" s="14"/>
      <c r="V32" s="14"/>
      <c r="W32" s="14"/>
    </row>
    <row r="33" spans="1:23">
      <c r="A33" s="6">
        <v>9</v>
      </c>
      <c r="B33" s="6">
        <v>9</v>
      </c>
      <c r="C33" s="6" t="s">
        <v>7</v>
      </c>
      <c r="D33" s="6">
        <v>102</v>
      </c>
      <c r="E33" s="11">
        <v>1.523367447362E-3</v>
      </c>
      <c r="F33" s="9">
        <v>9.0674662684546395E-2</v>
      </c>
      <c r="G33" s="9">
        <v>0.92793068806257695</v>
      </c>
      <c r="H33" s="11">
        <f t="shared" si="0"/>
        <v>1.6914855958538588E-4</v>
      </c>
      <c r="I33" s="11">
        <f t="shared" si="1"/>
        <v>2.0316721216555589E-3</v>
      </c>
      <c r="K33" s="62"/>
      <c r="L33" s="65"/>
      <c r="M33" s="19">
        <f>M6</f>
        <v>-0.03</v>
      </c>
      <c r="N33" s="19">
        <f>N6</f>
        <v>1.1399999999999999</v>
      </c>
      <c r="O33" s="19">
        <f>O6</f>
        <v>0.96</v>
      </c>
      <c r="P33" s="24">
        <f>P6</f>
        <v>1.1599999999999999</v>
      </c>
      <c r="T33" s="17"/>
      <c r="U33" s="15"/>
      <c r="V33" s="15"/>
      <c r="W33" s="15"/>
    </row>
    <row r="34" spans="1:23">
      <c r="A34" s="6">
        <v>9</v>
      </c>
      <c r="B34" s="6">
        <v>9</v>
      </c>
      <c r="C34" s="6" t="s">
        <v>8</v>
      </c>
      <c r="D34" s="6">
        <v>102</v>
      </c>
      <c r="E34" s="11">
        <v>4.0294606718451698E-2</v>
      </c>
      <c r="F34" s="9">
        <v>2.4803654449841401</v>
      </c>
      <c r="G34" s="9">
        <v>1.47777782253665E-2</v>
      </c>
      <c r="H34" s="11">
        <f t="shared" si="0"/>
        <v>4.3989748448740595E-3</v>
      </c>
      <c r="I34" s="11">
        <f t="shared" si="1"/>
        <v>5.4083776851025389E-2</v>
      </c>
      <c r="K34" s="62"/>
      <c r="L34" s="66" t="s">
        <v>8</v>
      </c>
      <c r="M34" s="32">
        <v>1.0137618184604902E-2</v>
      </c>
      <c r="N34" s="32">
        <v>1.0650848828871684E-2</v>
      </c>
      <c r="O34" s="32">
        <v>9.6754668177969627E-3</v>
      </c>
      <c r="P34" s="33">
        <v>7.4618345874273295E-3</v>
      </c>
      <c r="T34" s="16"/>
      <c r="U34" s="14"/>
      <c r="V34" s="14"/>
      <c r="W34" s="14"/>
    </row>
    <row r="35" spans="1:23">
      <c r="A35" s="5">
        <v>9</v>
      </c>
      <c r="B35" s="5">
        <v>9</v>
      </c>
      <c r="C35" s="6" t="s">
        <v>9</v>
      </c>
      <c r="D35" s="6">
        <v>102</v>
      </c>
      <c r="E35" s="11">
        <v>3.8771239271089601E-2</v>
      </c>
      <c r="F35" s="9">
        <v>2.4818415957859701</v>
      </c>
      <c r="G35" s="9">
        <v>1.4720291072391501E-2</v>
      </c>
      <c r="H35" s="11">
        <f t="shared" si="0"/>
        <v>4.2354458019948638E-3</v>
      </c>
      <c r="I35" s="11">
        <f t="shared" si="1"/>
        <v>5.2026199605735401E-2</v>
      </c>
      <c r="K35" s="62"/>
      <c r="L35" s="65"/>
      <c r="M35" s="19">
        <f>M8</f>
        <v>3.55</v>
      </c>
      <c r="N35" s="19">
        <f>N8</f>
        <v>4.6900000000000004</v>
      </c>
      <c r="O35" s="19">
        <f>O8</f>
        <v>5.15</v>
      </c>
      <c r="P35" s="24">
        <f>P8</f>
        <v>4.41</v>
      </c>
      <c r="T35" s="17"/>
      <c r="U35" s="15"/>
      <c r="V35" s="15"/>
      <c r="W35" s="15"/>
    </row>
    <row r="36" spans="1:23">
      <c r="A36" s="7">
        <v>9</v>
      </c>
      <c r="B36" s="7">
        <v>12</v>
      </c>
      <c r="C36" s="7" t="s">
        <v>7</v>
      </c>
      <c r="D36" s="7">
        <v>99</v>
      </c>
      <c r="E36" s="12">
        <v>1.5399793559194999E-2</v>
      </c>
      <c r="F36" s="10">
        <v>0.78676070623234695</v>
      </c>
      <c r="G36" s="10">
        <v>0.43332043259999797</v>
      </c>
      <c r="H36" s="12">
        <f t="shared" si="0"/>
        <v>1.2743463085289619E-3</v>
      </c>
      <c r="I36" s="12">
        <f t="shared" si="1"/>
        <v>1.5399793559194963E-2</v>
      </c>
      <c r="K36" s="62"/>
      <c r="L36" s="67" t="s">
        <v>9</v>
      </c>
      <c r="M36" s="32">
        <v>1.0038754876398048E-2</v>
      </c>
      <c r="N36" s="32">
        <v>8.2449960801396216E-3</v>
      </c>
      <c r="O36" s="32">
        <v>8.1098874141820598E-3</v>
      </c>
      <c r="P36" s="33">
        <v>5.6564376655499071E-3</v>
      </c>
      <c r="T36" s="14"/>
      <c r="U36" s="14"/>
      <c r="V36" s="14"/>
      <c r="W36" s="14"/>
    </row>
    <row r="37" spans="1:23">
      <c r="A37" s="7">
        <v>9</v>
      </c>
      <c r="B37" s="7">
        <v>12</v>
      </c>
      <c r="C37" s="7" t="s">
        <v>8</v>
      </c>
      <c r="D37" s="7">
        <v>99</v>
      </c>
      <c r="E37" s="12">
        <v>4.1963339851818701E-2</v>
      </c>
      <c r="F37" s="10">
        <v>1.9830952728584299</v>
      </c>
      <c r="G37" s="10">
        <v>5.0155542116857701E-2</v>
      </c>
      <c r="H37" s="12">
        <f t="shared" si="0"/>
        <v>3.4314372997850118E-3</v>
      </c>
      <c r="I37" s="12">
        <f t="shared" si="1"/>
        <v>4.196333985181866E-2</v>
      </c>
      <c r="K37" s="70"/>
      <c r="L37" s="71"/>
      <c r="M37" s="20">
        <f>M10</f>
        <v>3.58</v>
      </c>
      <c r="N37" s="20">
        <f>N10</f>
        <v>3.82</v>
      </c>
      <c r="O37" s="20">
        <f>O10</f>
        <v>4.49</v>
      </c>
      <c r="P37" s="30">
        <f>P10</f>
        <v>3.39</v>
      </c>
      <c r="T37" s="15"/>
      <c r="U37" s="15"/>
      <c r="V37" s="15"/>
      <c r="W37" s="15"/>
    </row>
    <row r="38" spans="1:23">
      <c r="A38" s="7">
        <v>9</v>
      </c>
      <c r="B38" s="7">
        <v>12</v>
      </c>
      <c r="C38" s="7" t="s">
        <v>9</v>
      </c>
      <c r="D38" s="7">
        <v>99</v>
      </c>
      <c r="E38" s="12">
        <v>2.6563546292623599E-2</v>
      </c>
      <c r="F38" s="10">
        <v>1.36957393403213</v>
      </c>
      <c r="G38" s="10">
        <v>0.17395011282650499</v>
      </c>
      <c r="H38" s="12">
        <f t="shared" si="0"/>
        <v>2.1871267258086746E-3</v>
      </c>
      <c r="I38" s="12">
        <f t="shared" si="1"/>
        <v>2.6563546292623696E-2</v>
      </c>
      <c r="K38" s="61">
        <v>6</v>
      </c>
      <c r="L38" s="64" t="s">
        <v>7</v>
      </c>
      <c r="M38" s="32">
        <v>1.5886419627213488E-3</v>
      </c>
      <c r="N38" s="32">
        <v>3.1383247542779991E-3</v>
      </c>
      <c r="O38" s="32">
        <v>2.1995686836266959E-3</v>
      </c>
      <c r="P38" s="33">
        <v>2.5189498146063194E-3</v>
      </c>
      <c r="T38" s="14"/>
      <c r="U38" s="14"/>
      <c r="V38" s="14"/>
      <c r="W38" s="14"/>
    </row>
    <row r="39" spans="1:23">
      <c r="A39" s="6">
        <v>12</v>
      </c>
      <c r="B39" s="6">
        <v>3</v>
      </c>
      <c r="C39" s="6" t="s">
        <v>7</v>
      </c>
      <c r="D39" s="6">
        <v>105</v>
      </c>
      <c r="E39" s="11">
        <v>-6.2206069450507998E-3</v>
      </c>
      <c r="F39" s="9">
        <v>-0.53583211527644603</v>
      </c>
      <c r="G39" s="9">
        <v>0.59321870892864503</v>
      </c>
      <c r="H39" s="11">
        <f t="shared" si="0"/>
        <v>-2.0778501191220933E-3</v>
      </c>
      <c r="I39" s="11">
        <f t="shared" si="1"/>
        <v>-2.4651213427438035E-2</v>
      </c>
      <c r="K39" s="62"/>
      <c r="L39" s="65"/>
      <c r="M39" s="19">
        <f>M12</f>
        <v>0.45</v>
      </c>
      <c r="N39" s="19">
        <f>N12</f>
        <v>1.35</v>
      </c>
      <c r="O39" s="19">
        <f>O12</f>
        <v>1.2</v>
      </c>
      <c r="P39" s="24">
        <f>P12</f>
        <v>1.53</v>
      </c>
      <c r="T39" s="15"/>
      <c r="U39" s="15"/>
      <c r="V39" s="15"/>
      <c r="W39" s="15"/>
    </row>
    <row r="40" spans="1:23">
      <c r="A40" s="6">
        <v>12</v>
      </c>
      <c r="B40" s="6">
        <v>3</v>
      </c>
      <c r="C40" s="6" t="s">
        <v>8</v>
      </c>
      <c r="D40" s="6">
        <v>105</v>
      </c>
      <c r="E40" s="11">
        <v>1.55610672921839E-2</v>
      </c>
      <c r="F40" s="9">
        <v>1.7682394061761799</v>
      </c>
      <c r="G40" s="9">
        <v>7.9953173706632505E-2</v>
      </c>
      <c r="H40" s="11">
        <f t="shared" si="0"/>
        <v>5.1603474397456939E-3</v>
      </c>
      <c r="I40" s="11">
        <f t="shared" si="1"/>
        <v>6.3712280946995214E-2</v>
      </c>
      <c r="K40" s="62"/>
      <c r="L40" s="66" t="s">
        <v>8</v>
      </c>
      <c r="M40" s="32">
        <v>8.9580745357971114E-3</v>
      </c>
      <c r="N40" s="32">
        <v>8.8543015551387771E-3</v>
      </c>
      <c r="O40" s="32">
        <v>6.5296836430313032E-3</v>
      </c>
      <c r="P40" s="33">
        <v>4.318110224974081E-3</v>
      </c>
      <c r="T40" s="14"/>
      <c r="U40" s="14"/>
      <c r="V40" s="14"/>
      <c r="W40" s="14"/>
    </row>
    <row r="41" spans="1:23">
      <c r="A41" s="5">
        <v>12</v>
      </c>
      <c r="B41" s="5">
        <v>3</v>
      </c>
      <c r="C41" s="6" t="s">
        <v>9</v>
      </c>
      <c r="D41" s="6">
        <v>105</v>
      </c>
      <c r="E41" s="11">
        <v>2.1781674237234702E-2</v>
      </c>
      <c r="F41" s="9">
        <v>2.18444160507469</v>
      </c>
      <c r="G41" s="9">
        <v>3.1175742226854802E-2</v>
      </c>
      <c r="H41" s="11">
        <f t="shared" si="0"/>
        <v>7.2084711668527479E-3</v>
      </c>
      <c r="I41" s="11">
        <f t="shared" si="1"/>
        <v>9.0014906545182738E-2</v>
      </c>
      <c r="K41" s="62"/>
      <c r="L41" s="65"/>
      <c r="M41" s="19">
        <f>M14</f>
        <v>3.14</v>
      </c>
      <c r="N41" s="19">
        <f>N14</f>
        <v>4.18</v>
      </c>
      <c r="O41" s="19">
        <f>O14</f>
        <v>3.61</v>
      </c>
      <c r="P41" s="24">
        <f>P14</f>
        <v>2.67</v>
      </c>
      <c r="T41" s="15"/>
      <c r="U41" s="15"/>
      <c r="V41" s="15"/>
      <c r="W41" s="15"/>
    </row>
    <row r="42" spans="1:23">
      <c r="A42" s="7">
        <v>12</v>
      </c>
      <c r="B42" s="7">
        <v>6</v>
      </c>
      <c r="C42" s="7" t="s">
        <v>7</v>
      </c>
      <c r="D42" s="7">
        <v>102</v>
      </c>
      <c r="E42" s="12">
        <v>-6.9457633388909999E-4</v>
      </c>
      <c r="F42" s="10">
        <v>-4.6921789058382297E-2</v>
      </c>
      <c r="G42" s="10">
        <v>0.96266821624608201</v>
      </c>
      <c r="H42" s="12">
        <f t="shared" si="0"/>
        <v>-1.1579623906210479E-4</v>
      </c>
      <c r="I42" s="12">
        <f t="shared" si="1"/>
        <v>-1.388670231494693E-3</v>
      </c>
      <c r="K42" s="62"/>
      <c r="L42" s="67" t="s">
        <v>9</v>
      </c>
      <c r="M42" s="32">
        <v>7.3926088368039267E-3</v>
      </c>
      <c r="N42" s="32">
        <v>5.804686019913019E-3</v>
      </c>
      <c r="O42" s="32">
        <v>4.4054005390099515E-3</v>
      </c>
      <c r="P42" s="33">
        <v>1.8490899802272587E-3</v>
      </c>
      <c r="T42" s="16"/>
      <c r="U42" s="14"/>
      <c r="V42" s="14"/>
      <c r="W42" s="14"/>
    </row>
    <row r="43" spans="1:23">
      <c r="A43" s="7">
        <v>12</v>
      </c>
      <c r="B43" s="7">
        <v>6</v>
      </c>
      <c r="C43" s="7" t="s">
        <v>8</v>
      </c>
      <c r="D43" s="7">
        <v>102</v>
      </c>
      <c r="E43" s="12">
        <v>2.14332070845108E-2</v>
      </c>
      <c r="F43" s="10">
        <v>1.5868298092322599</v>
      </c>
      <c r="G43" s="10">
        <v>0.11567711128970599</v>
      </c>
      <c r="H43" s="12">
        <f t="shared" si="0"/>
        <v>3.5407112351235615E-3</v>
      </c>
      <c r="I43" s="12">
        <f t="shared" si="1"/>
        <v>4.332579653494939E-2</v>
      </c>
      <c r="K43" s="70"/>
      <c r="L43" s="71"/>
      <c r="M43" s="20">
        <f>M16</f>
        <v>2.69</v>
      </c>
      <c r="N43" s="20">
        <f>N16</f>
        <v>2.98</v>
      </c>
      <c r="O43" s="20">
        <f>O16</f>
        <v>2.71</v>
      </c>
      <c r="P43" s="30">
        <f>P16</f>
        <v>1.26</v>
      </c>
      <c r="T43" s="17"/>
      <c r="U43" s="15"/>
      <c r="V43" s="15"/>
      <c r="W43" s="15"/>
    </row>
    <row r="44" spans="1:23">
      <c r="A44" s="7">
        <v>12</v>
      </c>
      <c r="B44" s="7">
        <v>6</v>
      </c>
      <c r="C44" s="7" t="s">
        <v>9</v>
      </c>
      <c r="D44" s="7">
        <v>102</v>
      </c>
      <c r="E44" s="12">
        <v>2.21277834183999E-2</v>
      </c>
      <c r="F44" s="10">
        <v>1.5686371069098901</v>
      </c>
      <c r="G44" s="10">
        <v>0.119860281551464</v>
      </c>
      <c r="H44" s="12">
        <f t="shared" si="0"/>
        <v>3.6544139245389129E-3</v>
      </c>
      <c r="I44" s="12">
        <f t="shared" si="1"/>
        <v>4.4745205635811525E-2</v>
      </c>
      <c r="K44" s="61">
        <v>9</v>
      </c>
      <c r="L44" s="64" t="s">
        <v>7</v>
      </c>
      <c r="M44" s="32">
        <v>1.9902468986443544E-4</v>
      </c>
      <c r="N44" s="32">
        <v>1.0309664643015637E-4</v>
      </c>
      <c r="O44" s="32">
        <v>1.6914855958538588E-4</v>
      </c>
      <c r="P44" s="33">
        <v>1.2743463085289619E-3</v>
      </c>
      <c r="T44" s="16"/>
      <c r="U44" s="14"/>
      <c r="V44" s="14"/>
      <c r="W44" s="14"/>
    </row>
    <row r="45" spans="1:23">
      <c r="A45" s="6">
        <v>12</v>
      </c>
      <c r="B45" s="6">
        <v>9</v>
      </c>
      <c r="C45" s="6" t="s">
        <v>7</v>
      </c>
      <c r="D45" s="6">
        <v>99</v>
      </c>
      <c r="E45" s="11">
        <v>1.7274350360729E-2</v>
      </c>
      <c r="F45" s="9">
        <v>0.96718798430602604</v>
      </c>
      <c r="G45" s="9">
        <v>0.335830909036957</v>
      </c>
      <c r="H45" s="11">
        <f t="shared" si="0"/>
        <v>1.9047946045160913E-3</v>
      </c>
      <c r="I45" s="11">
        <f t="shared" si="1"/>
        <v>2.309852622686126E-2</v>
      </c>
      <c r="K45" s="62"/>
      <c r="L45" s="65"/>
      <c r="M45" s="19">
        <f>M18</f>
        <v>0.05</v>
      </c>
      <c r="N45" s="19">
        <f>N18</f>
        <v>0.04</v>
      </c>
      <c r="O45" s="19">
        <f>O18</f>
        <v>0.09</v>
      </c>
      <c r="P45" s="24">
        <f>P18</f>
        <v>0.79</v>
      </c>
      <c r="T45" s="17"/>
      <c r="U45" s="15"/>
      <c r="V45" s="15"/>
      <c r="W45" s="15"/>
    </row>
    <row r="46" spans="1:23">
      <c r="A46" s="6">
        <v>12</v>
      </c>
      <c r="B46" s="6">
        <v>9</v>
      </c>
      <c r="C46" s="6" t="s">
        <v>8</v>
      </c>
      <c r="D46" s="6">
        <v>99</v>
      </c>
      <c r="E46" s="11">
        <v>3.3700752615642197E-2</v>
      </c>
      <c r="F46" s="9">
        <v>1.9111876517641899</v>
      </c>
      <c r="G46" s="9">
        <v>5.8902534117065301E-2</v>
      </c>
      <c r="H46" s="11">
        <f t="shared" si="0"/>
        <v>3.6896039670997194E-3</v>
      </c>
      <c r="I46" s="11">
        <f t="shared" si="1"/>
        <v>4.5184859583782044E-2</v>
      </c>
      <c r="K46" s="62"/>
      <c r="L46" s="66" t="s">
        <v>8</v>
      </c>
      <c r="M46" s="32">
        <v>9.4029655482583685E-3</v>
      </c>
      <c r="N46" s="32">
        <v>6.8199243521955832E-3</v>
      </c>
      <c r="O46" s="32">
        <v>4.3989748448740595E-3</v>
      </c>
      <c r="P46" s="33">
        <v>3.4314372997850118E-3</v>
      </c>
      <c r="T46" s="16"/>
      <c r="U46" s="14"/>
      <c r="V46" s="14"/>
      <c r="W46" s="14"/>
    </row>
    <row r="47" spans="1:23">
      <c r="A47" s="6">
        <v>12</v>
      </c>
      <c r="B47" s="6">
        <v>9</v>
      </c>
      <c r="C47" s="6" t="s">
        <v>9</v>
      </c>
      <c r="D47" s="6">
        <v>99</v>
      </c>
      <c r="E47" s="11">
        <v>1.6426402254913201E-2</v>
      </c>
      <c r="F47" s="9">
        <v>0.93121947420209605</v>
      </c>
      <c r="G47" s="9">
        <v>0.35402843630614</v>
      </c>
      <c r="H47" s="11">
        <f t="shared" si="0"/>
        <v>1.8119672290559663E-3</v>
      </c>
      <c r="I47" s="11">
        <f t="shared" si="1"/>
        <v>2.1961613767084609E-2</v>
      </c>
      <c r="K47" s="62"/>
      <c r="L47" s="65"/>
      <c r="M47" s="19">
        <f>M20</f>
        <v>3.23</v>
      </c>
      <c r="N47" s="19">
        <f>N20</f>
        <v>3.18</v>
      </c>
      <c r="O47" s="19">
        <f>O20</f>
        <v>2.48</v>
      </c>
      <c r="P47" s="24">
        <f>P20</f>
        <v>1.98</v>
      </c>
      <c r="T47" s="17"/>
      <c r="U47" s="15"/>
      <c r="V47" s="15"/>
      <c r="W47" s="15"/>
    </row>
    <row r="48" spans="1:23">
      <c r="A48" s="7">
        <v>12</v>
      </c>
      <c r="B48" s="7">
        <v>12</v>
      </c>
      <c r="C48" s="7" t="s">
        <v>7</v>
      </c>
      <c r="D48" s="7">
        <v>96</v>
      </c>
      <c r="E48" s="12">
        <v>4.7582304856785398E-2</v>
      </c>
      <c r="F48" s="10">
        <v>2.1319726491645499</v>
      </c>
      <c r="G48" s="10">
        <v>3.5588701036567499E-2</v>
      </c>
      <c r="H48" s="12">
        <f t="shared" si="0"/>
        <v>3.8812578470888148E-3</v>
      </c>
      <c r="I48" s="12">
        <f t="shared" si="1"/>
        <v>4.7582304856785385E-2</v>
      </c>
      <c r="K48" s="62"/>
      <c r="L48" s="67" t="s">
        <v>9</v>
      </c>
      <c r="M48" s="32">
        <v>9.2075548603509638E-3</v>
      </c>
      <c r="N48" s="32">
        <v>6.7202220963693549E-3</v>
      </c>
      <c r="O48" s="32">
        <v>4.2354458019948638E-3</v>
      </c>
      <c r="P48" s="33">
        <v>2.1871267258086746E-3</v>
      </c>
      <c r="T48" s="14"/>
      <c r="U48" s="14"/>
      <c r="V48" s="14"/>
      <c r="W48" s="14"/>
    </row>
    <row r="49" spans="1:23">
      <c r="A49" s="7">
        <v>12</v>
      </c>
      <c r="B49" s="7">
        <v>12</v>
      </c>
      <c r="C49" s="7" t="s">
        <v>8</v>
      </c>
      <c r="D49" s="7">
        <v>96</v>
      </c>
      <c r="E49" s="12">
        <v>5.05347405509049E-2</v>
      </c>
      <c r="F49" s="10">
        <v>2.24675213526971</v>
      </c>
      <c r="G49" s="10">
        <v>2.6971310954366098E-2</v>
      </c>
      <c r="H49" s="12">
        <f t="shared" si="0"/>
        <v>4.1167264712675955E-3</v>
      </c>
      <c r="I49" s="12">
        <f t="shared" si="1"/>
        <v>5.05347405509049E-2</v>
      </c>
      <c r="K49" s="70"/>
      <c r="L49" s="71"/>
      <c r="M49" s="20">
        <f>M22</f>
        <v>2.89</v>
      </c>
      <c r="N49" s="20">
        <f>N22</f>
        <v>3.27</v>
      </c>
      <c r="O49" s="20">
        <f>O22</f>
        <v>2.48</v>
      </c>
      <c r="P49" s="30">
        <f>P22</f>
        <v>1.37</v>
      </c>
      <c r="T49" s="15"/>
      <c r="U49" s="15"/>
      <c r="V49" s="15"/>
      <c r="W49" s="15"/>
    </row>
    <row r="50" spans="1:23">
      <c r="A50" s="7">
        <v>12</v>
      </c>
      <c r="B50" s="7">
        <v>12</v>
      </c>
      <c r="C50" s="7" t="s">
        <v>9</v>
      </c>
      <c r="D50" s="7">
        <v>96</v>
      </c>
      <c r="E50" s="12">
        <v>2.9524356941194999E-3</v>
      </c>
      <c r="F50" s="10">
        <v>0.12530451887434399</v>
      </c>
      <c r="G50" s="10">
        <v>0.90054726036784105</v>
      </c>
      <c r="H50" s="12">
        <f t="shared" si="0"/>
        <v>2.4570399824863642E-4</v>
      </c>
      <c r="I50" s="12">
        <f t="shared" si="1"/>
        <v>2.9524356941195151E-3</v>
      </c>
      <c r="K50" s="61">
        <v>12</v>
      </c>
      <c r="L50" s="64" t="s">
        <v>7</v>
      </c>
      <c r="M50" s="32">
        <v>-2.0778501191220933E-3</v>
      </c>
      <c r="N50" s="32">
        <v>-1.1579623906210479E-4</v>
      </c>
      <c r="O50" s="32">
        <v>1.9047946045160913E-3</v>
      </c>
      <c r="P50" s="33">
        <v>3.8812578470888148E-3</v>
      </c>
      <c r="T50" s="14"/>
      <c r="U50" s="14"/>
      <c r="V50" s="14"/>
      <c r="W50" s="14"/>
    </row>
    <row r="51" spans="1:23">
      <c r="K51" s="62"/>
      <c r="L51" s="65"/>
      <c r="M51" s="19">
        <f>M24</f>
        <v>-0.54</v>
      </c>
      <c r="N51" s="19">
        <f>N24</f>
        <v>-0.05</v>
      </c>
      <c r="O51" s="19">
        <f>O24</f>
        <v>0.97</v>
      </c>
      <c r="P51" s="24">
        <f>P24</f>
        <v>2.13</v>
      </c>
      <c r="T51" s="15"/>
      <c r="U51" s="15"/>
      <c r="V51" s="15"/>
      <c r="W51" s="15"/>
    </row>
    <row r="52" spans="1:23">
      <c r="K52" s="62"/>
      <c r="L52" s="66" t="s">
        <v>8</v>
      </c>
      <c r="M52" s="32">
        <v>5.1603474397456939E-3</v>
      </c>
      <c r="N52" s="32">
        <v>3.5407112351235615E-3</v>
      </c>
      <c r="O52" s="32">
        <v>3.6896039670997194E-3</v>
      </c>
      <c r="P52" s="33">
        <v>4.1167264712675955E-3</v>
      </c>
      <c r="T52" s="14"/>
      <c r="U52" s="14"/>
      <c r="V52" s="14"/>
      <c r="W52" s="14"/>
    </row>
    <row r="53" spans="1:23">
      <c r="K53" s="62"/>
      <c r="L53" s="65"/>
      <c r="M53" s="19">
        <f>M26</f>
        <v>1.77</v>
      </c>
      <c r="N53" s="19">
        <f>N26</f>
        <v>1.59</v>
      </c>
      <c r="O53" s="19">
        <f>O26</f>
        <v>1.91</v>
      </c>
      <c r="P53" s="24">
        <f>P26</f>
        <v>2.25</v>
      </c>
      <c r="T53" s="15"/>
      <c r="U53" s="15"/>
      <c r="V53" s="15"/>
      <c r="W53" s="15"/>
    </row>
    <row r="54" spans="1:23">
      <c r="K54" s="62"/>
      <c r="L54" s="67" t="s">
        <v>9</v>
      </c>
      <c r="M54" s="32">
        <v>7.2084711668527479E-3</v>
      </c>
      <c r="N54" s="32">
        <v>3.6544139245389129E-3</v>
      </c>
      <c r="O54" s="32">
        <v>1.8119672290559663E-3</v>
      </c>
      <c r="P54" s="33">
        <v>2.4570399824863642E-4</v>
      </c>
      <c r="T54" s="14"/>
      <c r="U54" s="14"/>
      <c r="V54" s="14"/>
      <c r="W54" s="14"/>
    </row>
    <row r="55" spans="1:23">
      <c r="K55" s="63"/>
      <c r="L55" s="68"/>
      <c r="M55" s="26">
        <f>M28</f>
        <v>2.1800000000000002</v>
      </c>
      <c r="N55" s="26">
        <f>N28</f>
        <v>1.57</v>
      </c>
      <c r="O55" s="26">
        <f>O28</f>
        <v>0.93</v>
      </c>
      <c r="P55" s="27">
        <f>P28</f>
        <v>0.13</v>
      </c>
      <c r="T55" s="15"/>
      <c r="U55" s="15"/>
      <c r="V55" s="15"/>
      <c r="W55" s="15"/>
    </row>
    <row r="56" spans="1:23">
      <c r="M56" s="15"/>
      <c r="N56" s="15"/>
      <c r="O56" s="15"/>
      <c r="P56" s="15"/>
      <c r="T56" s="14"/>
      <c r="U56" s="14"/>
      <c r="V56" s="14"/>
      <c r="W56" s="14"/>
    </row>
    <row r="57" spans="1:23">
      <c r="M57" s="14"/>
      <c r="N57" s="14"/>
      <c r="O57" s="14"/>
      <c r="P57" s="14"/>
      <c r="T57" s="15"/>
      <c r="U57" s="15"/>
      <c r="V57" s="15"/>
      <c r="W57" s="15"/>
    </row>
    <row r="58" spans="1:23">
      <c r="M58" s="15"/>
      <c r="N58" s="15"/>
      <c r="O58" s="15"/>
      <c r="P58" s="15"/>
      <c r="T58" s="14"/>
      <c r="U58" s="14"/>
      <c r="V58" s="14"/>
      <c r="W58" s="14"/>
    </row>
    <row r="59" spans="1:23">
      <c r="T59" s="15"/>
      <c r="U59" s="15"/>
      <c r="V59" s="15"/>
      <c r="W59" s="15"/>
    </row>
  </sheetData>
  <autoFilter ref="A2:G50">
    <sortState ref="A3:G50">
      <sortCondition ref="A2"/>
    </sortState>
  </autoFilter>
  <mergeCells count="35">
    <mergeCell ref="L15:L16"/>
    <mergeCell ref="L17:L18"/>
    <mergeCell ref="K17:K22"/>
    <mergeCell ref="L34:L35"/>
    <mergeCell ref="L36:L37"/>
    <mergeCell ref="K23:K28"/>
    <mergeCell ref="K11:K16"/>
    <mergeCell ref="L19:L20"/>
    <mergeCell ref="L21:L22"/>
    <mergeCell ref="L23:L24"/>
    <mergeCell ref="L25:L26"/>
    <mergeCell ref="L27:L28"/>
    <mergeCell ref="L11:L12"/>
    <mergeCell ref="L13:L14"/>
    <mergeCell ref="K3:P3"/>
    <mergeCell ref="L5:L6"/>
    <mergeCell ref="L7:L8"/>
    <mergeCell ref="L9:L10"/>
    <mergeCell ref="K5:K10"/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0:P30"/>
    <mergeCell ref="K32:K37"/>
    <mergeCell ref="L32:L33"/>
  </mergeCells>
  <phoneticPr fontId="19" type="noConversion"/>
  <conditionalFormatting sqref="E2:E1048576">
    <cfRule type="cellIs" dxfId="100" priority="22" operator="lessThan">
      <formula>0</formula>
    </cfRule>
    <cfRule type="cellIs" dxfId="99" priority="23" operator="greaterThan">
      <formula>0</formula>
    </cfRule>
  </conditionalFormatting>
  <conditionalFormatting sqref="G2:G1048576">
    <cfRule type="cellIs" dxfId="98" priority="21" operator="lessThan">
      <formula>0.05</formula>
    </cfRule>
  </conditionalFormatting>
  <conditionalFormatting sqref="H2:I50">
    <cfRule type="cellIs" dxfId="97" priority="6" operator="lessThan">
      <formula>0</formula>
    </cfRule>
    <cfRule type="cellIs" dxfId="96" priority="7" operator="greaterThan">
      <formula>0</formula>
    </cfRule>
  </conditionalFormatting>
  <conditionalFormatting sqref="M5:P5 M7:P7 M9:P9 M11:P11 M13:P13 M15:P15 M17:P17 M19:P19 M21:P21 M23:P23 M25:P25 M27:P27">
    <cfRule type="expression" dxfId="95" priority="16">
      <formula>OR(M6&gt;1.96,M6&lt;-1.96)</formula>
    </cfRule>
  </conditionalFormatting>
  <conditionalFormatting sqref="M6:P6 M8:P8 M10:P10">
    <cfRule type="cellIs" dxfId="94" priority="15" operator="between">
      <formula>-1.96</formula>
      <formula>1.96</formula>
    </cfRule>
    <cfRule type="cellIs" dxfId="93" priority="18" operator="notBetween">
      <formula>1.96</formula>
      <formula>-1.96</formula>
    </cfRule>
  </conditionalFormatting>
  <conditionalFormatting sqref="M12:P12 M14:P14 M16:P16 M18:P18 M20:P20 M22:P22 M24:P24 M26:P26 M28:P28">
    <cfRule type="cellIs" dxfId="92" priority="13" operator="between">
      <formula>-1.96</formula>
      <formula>1.96</formula>
    </cfRule>
    <cfRule type="cellIs" dxfId="91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90" priority="4">
      <formula>OR(M33&gt;1.96,M33&lt;-1.96)</formula>
    </cfRule>
  </conditionalFormatting>
  <conditionalFormatting sqref="M33:P33 M35:P35 M37:P37">
    <cfRule type="cellIs" dxfId="89" priority="3" operator="between">
      <formula>-1.96</formula>
      <formula>1.96</formula>
    </cfRule>
    <cfRule type="cellIs" dxfId="88" priority="5" operator="notBetween">
      <formula>1.96</formula>
      <formula>-1.96</formula>
    </cfRule>
  </conditionalFormatting>
  <conditionalFormatting sqref="M39:P39 M41:P41 M43:P43 M45:P45 M47:P47 M49:P49 M51:P51 M53:P53 M55:P55">
    <cfRule type="cellIs" dxfId="87" priority="1" operator="between">
      <formula>-1.96</formula>
      <formula>1.96</formula>
    </cfRule>
    <cfRule type="cellIs" dxfId="86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8"/>
  <sheetViews>
    <sheetView topLeftCell="G1" workbookViewId="0">
      <pane ySplit="2" topLeftCell="A3" activePane="bottomLeft" state="frozen"/>
      <selection pane="bottomLeft" activeCell="K7" sqref="K7:K8"/>
    </sheetView>
  </sheetViews>
  <sheetFormatPr defaultRowHeight="16.5"/>
  <cols>
    <col min="1" max="1" width="6.625" style="46" bestFit="1" customWidth="1"/>
    <col min="2" max="3" width="10.5" style="38" customWidth="1"/>
    <col min="4" max="4" width="14.625" style="38" bestFit="1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10" max="10" width="9" customWidth="1"/>
    <col min="11" max="11" width="14.75" customWidth="1"/>
    <col min="12" max="19" width="11.875" customWidth="1"/>
  </cols>
  <sheetData>
    <row r="1" spans="1:27">
      <c r="A1" s="79" t="s">
        <v>30</v>
      </c>
      <c r="B1" s="79"/>
      <c r="C1" s="79"/>
      <c r="D1" s="79"/>
      <c r="E1" s="79"/>
      <c r="F1" s="79"/>
      <c r="G1" s="79"/>
      <c r="H1" s="79"/>
    </row>
    <row r="2" spans="1:27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27">
      <c r="A3" s="48" t="s">
        <v>28</v>
      </c>
      <c r="B3" s="38">
        <v>3</v>
      </c>
      <c r="C3" s="38">
        <v>3</v>
      </c>
      <c r="D3" s="38" t="s">
        <v>7</v>
      </c>
      <c r="E3" s="38">
        <v>114</v>
      </c>
      <c r="F3" s="39">
        <v>-4.1826614468107003E-3</v>
      </c>
      <c r="G3" s="40">
        <v>-1.1394981757137299</v>
      </c>
      <c r="H3" s="41">
        <v>0.25690515208731002</v>
      </c>
    </row>
    <row r="4" spans="1:27">
      <c r="A4" s="48" t="s">
        <v>28</v>
      </c>
      <c r="B4" s="38">
        <v>3</v>
      </c>
      <c r="C4" s="38">
        <v>3</v>
      </c>
      <c r="D4" s="38" t="s">
        <v>8</v>
      </c>
      <c r="E4" s="38">
        <v>114</v>
      </c>
      <c r="F4" s="39">
        <v>6.2713862164912003E-3</v>
      </c>
      <c r="G4" s="40">
        <v>2.1202190798129501</v>
      </c>
      <c r="H4" s="41">
        <v>3.6175399347548501E-2</v>
      </c>
      <c r="J4" s="80" t="s">
        <v>32</v>
      </c>
      <c r="K4" s="80"/>
      <c r="L4" s="80"/>
      <c r="M4" s="80"/>
      <c r="N4" s="80"/>
      <c r="O4" s="80"/>
      <c r="P4" s="80"/>
      <c r="Q4" s="80"/>
      <c r="R4" s="80"/>
      <c r="S4" s="80"/>
    </row>
    <row r="5" spans="1:27">
      <c r="A5" s="48" t="s">
        <v>28</v>
      </c>
      <c r="B5" s="42">
        <v>3</v>
      </c>
      <c r="C5" s="42">
        <v>3</v>
      </c>
      <c r="D5" s="42" t="s">
        <v>9</v>
      </c>
      <c r="E5" s="42">
        <v>114</v>
      </c>
      <c r="F5" s="43">
        <v>1.0454047663301999E-2</v>
      </c>
      <c r="G5" s="44">
        <v>3.7008478209531099</v>
      </c>
      <c r="H5" s="45">
        <v>3.3367407556660002E-4</v>
      </c>
      <c r="J5" s="34"/>
      <c r="K5" s="35"/>
      <c r="L5" s="81" t="s">
        <v>33</v>
      </c>
      <c r="M5" s="82"/>
      <c r="N5" s="82"/>
      <c r="O5" s="83"/>
      <c r="P5" s="84" t="s">
        <v>34</v>
      </c>
      <c r="Q5" s="85"/>
      <c r="R5" s="85"/>
      <c r="S5" s="86"/>
    </row>
    <row r="6" spans="1:27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111</v>
      </c>
      <c r="F6" s="39">
        <v>-2.2766295298756998E-3</v>
      </c>
      <c r="G6" s="40">
        <v>-0.99345838635711903</v>
      </c>
      <c r="H6" s="41">
        <v>0.32266696533105499</v>
      </c>
      <c r="J6" s="28" t="s">
        <v>16</v>
      </c>
      <c r="K6" s="22" t="s">
        <v>17</v>
      </c>
      <c r="L6" s="23">
        <v>3</v>
      </c>
      <c r="M6" s="23">
        <v>6</v>
      </c>
      <c r="N6" s="23">
        <v>9</v>
      </c>
      <c r="O6" s="29">
        <v>12</v>
      </c>
      <c r="P6" s="23">
        <v>3</v>
      </c>
      <c r="Q6" s="23">
        <v>6</v>
      </c>
      <c r="R6" s="23">
        <v>9</v>
      </c>
      <c r="S6" s="29">
        <v>12</v>
      </c>
    </row>
    <row r="7" spans="1:27">
      <c r="A7" s="48" t="s">
        <v>28</v>
      </c>
      <c r="B7" s="38">
        <v>3</v>
      </c>
      <c r="C7" s="38">
        <v>6</v>
      </c>
      <c r="D7" s="38" t="s">
        <v>8</v>
      </c>
      <c r="E7" s="38">
        <v>111</v>
      </c>
      <c r="F7" s="39">
        <v>5.2578420147128997E-3</v>
      </c>
      <c r="G7" s="40">
        <v>2.3915736352460599</v>
      </c>
      <c r="H7" s="41">
        <v>1.84732388519873E-2</v>
      </c>
      <c r="J7" s="77">
        <v>3</v>
      </c>
      <c r="K7" s="76" t="s">
        <v>7</v>
      </c>
      <c r="L7" s="58">
        <v>-4.1999999999999997E-3</v>
      </c>
      <c r="M7" s="58">
        <v>-2.3E-3</v>
      </c>
      <c r="N7" s="58">
        <v>-2.8999999999999998E-3</v>
      </c>
      <c r="O7" s="25">
        <v>-3.3999999999999998E-3</v>
      </c>
      <c r="P7" s="58">
        <v>-7.9999999999999993E-4</v>
      </c>
      <c r="Q7" s="58">
        <v>-8.9999999999999998E-4</v>
      </c>
      <c r="R7" s="58">
        <v>-1.9000000000000002E-3</v>
      </c>
      <c r="S7" s="25">
        <v>-2.8999999999999998E-3</v>
      </c>
    </row>
    <row r="8" spans="1:27">
      <c r="A8" s="48" t="s">
        <v>28</v>
      </c>
      <c r="B8" s="42">
        <v>3</v>
      </c>
      <c r="C8" s="42">
        <v>6</v>
      </c>
      <c r="D8" s="42" t="s">
        <v>9</v>
      </c>
      <c r="E8" s="42">
        <v>111</v>
      </c>
      <c r="F8" s="43">
        <v>7.5344715445886997E-3</v>
      </c>
      <c r="G8" s="44">
        <v>3.68303134827072</v>
      </c>
      <c r="H8" s="45">
        <v>3.5909256955469999E-4</v>
      </c>
      <c r="J8" s="62"/>
      <c r="K8" s="65"/>
      <c r="L8" s="19">
        <v>-1.1395</v>
      </c>
      <c r="M8" s="19">
        <v>-0.99350000000000005</v>
      </c>
      <c r="N8" s="19">
        <v>-1.5938000000000001</v>
      </c>
      <c r="O8" s="24">
        <v>-1.9757</v>
      </c>
      <c r="P8" s="19">
        <v>-0.22819999999999999</v>
      </c>
      <c r="Q8" s="19">
        <v>-0.40500000000000003</v>
      </c>
      <c r="R8" s="19">
        <v>-1.0494000000000001</v>
      </c>
      <c r="S8" s="24">
        <v>-1.6267</v>
      </c>
    </row>
    <row r="9" spans="1:27">
      <c r="A9" s="48" t="s">
        <v>28</v>
      </c>
      <c r="B9" s="38">
        <v>3</v>
      </c>
      <c r="C9" s="38">
        <v>9</v>
      </c>
      <c r="D9" s="38" t="s">
        <v>7</v>
      </c>
      <c r="E9" s="38">
        <v>108</v>
      </c>
      <c r="F9" s="39">
        <v>-2.9134825558872002E-3</v>
      </c>
      <c r="G9" s="40">
        <v>-1.59382011380461</v>
      </c>
      <c r="H9" s="41">
        <v>0.11392610875692299</v>
      </c>
      <c r="J9" s="78"/>
      <c r="K9" s="66" t="s">
        <v>8</v>
      </c>
      <c r="L9" s="58">
        <v>6.0000000000000001E-3</v>
      </c>
      <c r="M9" s="58">
        <v>5.3E-3</v>
      </c>
      <c r="N9" s="58">
        <v>3.8000000000000004E-3</v>
      </c>
      <c r="O9" s="25">
        <v>1.5999999999999999E-3</v>
      </c>
      <c r="P9" s="58">
        <v>6.6000000000000008E-3</v>
      </c>
      <c r="Q9" s="58">
        <v>4.8999999999999998E-3</v>
      </c>
      <c r="R9" s="58">
        <v>3.6999999999999997E-3</v>
      </c>
      <c r="S9" s="25">
        <v>1.2999999999999999E-3</v>
      </c>
    </row>
    <row r="10" spans="1:27">
      <c r="A10" s="48" t="s">
        <v>28</v>
      </c>
      <c r="B10" s="38">
        <v>3</v>
      </c>
      <c r="C10" s="38">
        <v>9</v>
      </c>
      <c r="D10" s="38" t="s">
        <v>8</v>
      </c>
      <c r="E10" s="38">
        <v>108</v>
      </c>
      <c r="F10" s="39">
        <v>3.7734688682031E-3</v>
      </c>
      <c r="G10" s="40">
        <v>2.1720067508395</v>
      </c>
      <c r="H10" s="41">
        <v>3.2062938014339799E-2</v>
      </c>
      <c r="J10" s="62"/>
      <c r="K10" s="65"/>
      <c r="L10" s="19">
        <v>2.1202000000000001</v>
      </c>
      <c r="M10" s="19">
        <v>2.3915999999999999</v>
      </c>
      <c r="N10" s="19">
        <v>2.1720000000000002</v>
      </c>
      <c r="O10" s="24">
        <v>1.0789</v>
      </c>
      <c r="P10" s="19">
        <v>2.2999999999999998</v>
      </c>
      <c r="Q10" s="19">
        <v>2.2524000000000002</v>
      </c>
      <c r="R10" s="19">
        <v>2.1676000000000002</v>
      </c>
      <c r="S10" s="24">
        <v>0.8629</v>
      </c>
      <c r="T10" s="57"/>
      <c r="U10" s="57"/>
      <c r="V10" s="57"/>
      <c r="W10" s="57"/>
      <c r="X10" s="57"/>
      <c r="Y10" s="57"/>
      <c r="Z10" s="57"/>
      <c r="AA10" s="57"/>
    </row>
    <row r="11" spans="1:27">
      <c r="A11" s="48" t="s">
        <v>28</v>
      </c>
      <c r="B11" s="42">
        <v>3</v>
      </c>
      <c r="C11" s="42">
        <v>9</v>
      </c>
      <c r="D11" s="42" t="s">
        <v>9</v>
      </c>
      <c r="E11" s="42">
        <v>108</v>
      </c>
      <c r="F11" s="43">
        <v>6.6869514240904E-3</v>
      </c>
      <c r="G11" s="44">
        <v>4.1596443913956502</v>
      </c>
      <c r="H11" s="45">
        <v>6.4543512895160596E-5</v>
      </c>
      <c r="J11" s="78"/>
      <c r="K11" s="67" t="s">
        <v>9</v>
      </c>
      <c r="L11" s="58">
        <v>1.0500000000000001E-2</v>
      </c>
      <c r="M11" s="58">
        <v>7.4999999999999997E-3</v>
      </c>
      <c r="N11" s="58">
        <v>6.7000000000000002E-3</v>
      </c>
      <c r="O11" s="25">
        <v>5.1000000000000004E-3</v>
      </c>
      <c r="P11" s="58">
        <v>7.3999999999999995E-3</v>
      </c>
      <c r="Q11" s="58">
        <v>5.7999999999999996E-3</v>
      </c>
      <c r="R11" s="58">
        <v>5.7000000000000002E-3</v>
      </c>
      <c r="S11" s="25">
        <v>4.1999999999999997E-3</v>
      </c>
    </row>
    <row r="12" spans="1:27">
      <c r="A12" s="48" t="s">
        <v>28</v>
      </c>
      <c r="B12" s="38">
        <v>3</v>
      </c>
      <c r="C12" s="38">
        <v>12</v>
      </c>
      <c r="D12" s="38" t="s">
        <v>7</v>
      </c>
      <c r="E12" s="38">
        <v>105</v>
      </c>
      <c r="F12" s="39">
        <v>-3.4420515048007002E-3</v>
      </c>
      <c r="G12" s="40">
        <v>-1.9757474899465299</v>
      </c>
      <c r="H12" s="41">
        <v>5.0832627613710803E-2</v>
      </c>
      <c r="J12" s="70"/>
      <c r="K12" s="71"/>
      <c r="L12" s="20">
        <v>3.7008000000000001</v>
      </c>
      <c r="M12" s="20">
        <v>3.6829999999999998</v>
      </c>
      <c r="N12" s="20">
        <v>4.1596000000000002</v>
      </c>
      <c r="O12" s="30">
        <v>3.3773</v>
      </c>
      <c r="P12" s="20">
        <v>2.5840000000000001</v>
      </c>
      <c r="Q12" s="20">
        <v>2.9517000000000002</v>
      </c>
      <c r="R12" s="20">
        <v>3.6038999999999999</v>
      </c>
      <c r="S12" s="30">
        <v>2.7839</v>
      </c>
      <c r="T12" s="57"/>
      <c r="U12" s="57"/>
      <c r="V12" s="57"/>
      <c r="W12" s="57"/>
      <c r="X12" s="57"/>
      <c r="Y12" s="57"/>
      <c r="Z12" s="57"/>
      <c r="AA12" s="57"/>
    </row>
    <row r="13" spans="1:27">
      <c r="A13" s="48" t="s">
        <v>28</v>
      </c>
      <c r="B13" s="38">
        <v>3</v>
      </c>
      <c r="C13" s="38">
        <v>12</v>
      </c>
      <c r="D13" s="38" t="s">
        <v>8</v>
      </c>
      <c r="E13" s="38">
        <v>105</v>
      </c>
      <c r="F13" s="39">
        <v>1.6103918686406001E-3</v>
      </c>
      <c r="G13" s="40">
        <v>1.0789476922586501</v>
      </c>
      <c r="H13" s="41">
        <v>0.283107071395722</v>
      </c>
      <c r="J13" s="87">
        <v>6</v>
      </c>
      <c r="K13" s="64" t="s">
        <v>7</v>
      </c>
      <c r="L13" s="58">
        <v>-2.3E-3</v>
      </c>
      <c r="M13" s="58">
        <v>-1.5999999999999999E-3</v>
      </c>
      <c r="N13" s="58">
        <v>-2.6999999999999997E-3</v>
      </c>
      <c r="O13" s="25">
        <v>-3.1000000000000003E-3</v>
      </c>
      <c r="P13" s="58">
        <v>0</v>
      </c>
      <c r="Q13" s="58">
        <v>-3.9999999999999996E-4</v>
      </c>
      <c r="R13" s="58">
        <v>-1.9000000000000002E-3</v>
      </c>
      <c r="S13" s="25">
        <v>-2.4000000000000002E-3</v>
      </c>
    </row>
    <row r="14" spans="1:27">
      <c r="A14" s="48" t="s">
        <v>28</v>
      </c>
      <c r="B14" s="42">
        <v>3</v>
      </c>
      <c r="C14" s="42">
        <v>12</v>
      </c>
      <c r="D14" s="42" t="s">
        <v>9</v>
      </c>
      <c r="E14" s="42">
        <v>105</v>
      </c>
      <c r="F14" s="43">
        <v>5.0524433734414004E-3</v>
      </c>
      <c r="G14" s="44">
        <v>3.3773367631210802</v>
      </c>
      <c r="H14" s="45">
        <v>1.0306310508452999E-3</v>
      </c>
      <c r="J14" s="62"/>
      <c r="K14" s="65"/>
      <c r="L14" s="19">
        <v>-0.64600000000000002</v>
      </c>
      <c r="M14" s="19">
        <v>-0.66039999999999999</v>
      </c>
      <c r="N14" s="19">
        <v>-1.4189000000000001</v>
      </c>
      <c r="O14" s="24">
        <v>-1.879</v>
      </c>
      <c r="P14" s="19">
        <v>9.9000000000000008E-3</v>
      </c>
      <c r="Q14" s="19">
        <v>-0.17499999999999999</v>
      </c>
      <c r="R14" s="19">
        <v>-1.0085999999999999</v>
      </c>
      <c r="S14" s="24">
        <v>-1.4162999999999999</v>
      </c>
      <c r="T14" s="57"/>
      <c r="U14" s="57"/>
      <c r="V14" s="57"/>
      <c r="W14" s="57"/>
      <c r="X14" s="57"/>
      <c r="Y14" s="57"/>
      <c r="Z14" s="57"/>
      <c r="AA14" s="57"/>
    </row>
    <row r="15" spans="1:27">
      <c r="A15" s="48" t="s">
        <v>28</v>
      </c>
      <c r="B15" s="38">
        <v>6</v>
      </c>
      <c r="C15" s="38">
        <v>3</v>
      </c>
      <c r="D15" s="38" t="s">
        <v>7</v>
      </c>
      <c r="E15" s="38">
        <v>111</v>
      </c>
      <c r="F15" s="39">
        <v>-2.3217347863904001E-3</v>
      </c>
      <c r="G15" s="40">
        <v>-0.64597621045068898</v>
      </c>
      <c r="H15" s="41">
        <v>0.519640120184649</v>
      </c>
      <c r="J15" s="78"/>
      <c r="K15" s="66" t="s">
        <v>8</v>
      </c>
      <c r="L15" s="58">
        <v>5.0000000000000001E-3</v>
      </c>
      <c r="M15" s="58">
        <v>3.6999999999999997E-3</v>
      </c>
      <c r="N15" s="58">
        <v>1E-3</v>
      </c>
      <c r="O15" s="25">
        <v>-1.1000000000000001E-3</v>
      </c>
      <c r="P15" s="58">
        <v>4.1999999999999997E-3</v>
      </c>
      <c r="Q15" s="58">
        <v>3.1999999999999997E-3</v>
      </c>
      <c r="R15" s="58">
        <v>6.9999999999999999E-4</v>
      </c>
      <c r="S15" s="25">
        <v>-1.5E-3</v>
      </c>
    </row>
    <row r="16" spans="1:27">
      <c r="A16" s="48" t="s">
        <v>28</v>
      </c>
      <c r="B16" s="38">
        <v>6</v>
      </c>
      <c r="C16" s="38">
        <v>3</v>
      </c>
      <c r="D16" s="38" t="s">
        <v>8</v>
      </c>
      <c r="E16" s="38">
        <v>111</v>
      </c>
      <c r="F16" s="39">
        <v>4.9823516742178997E-3</v>
      </c>
      <c r="G16" s="40">
        <v>1.7565121171470499</v>
      </c>
      <c r="H16" s="41">
        <v>8.1783871026894495E-2</v>
      </c>
      <c r="J16" s="62"/>
      <c r="K16" s="65"/>
      <c r="L16" s="19">
        <v>1.7565</v>
      </c>
      <c r="M16" s="19">
        <v>1.7648999999999999</v>
      </c>
      <c r="N16" s="19">
        <v>0.57389999999999997</v>
      </c>
      <c r="O16" s="24">
        <v>-0.75729999999999997</v>
      </c>
      <c r="P16" s="19">
        <v>1.5276000000000001</v>
      </c>
      <c r="Q16" s="19">
        <v>1.5463</v>
      </c>
      <c r="R16" s="19">
        <v>0.45679999999999998</v>
      </c>
      <c r="S16" s="24">
        <v>-1.0111000000000001</v>
      </c>
      <c r="T16" s="57"/>
      <c r="U16" s="57"/>
      <c r="V16" s="57"/>
      <c r="W16" s="57"/>
      <c r="X16" s="57"/>
      <c r="Y16" s="57"/>
      <c r="Z16" s="57"/>
      <c r="AA16" s="57"/>
    </row>
    <row r="17" spans="1:27">
      <c r="A17" s="48" t="s">
        <v>28</v>
      </c>
      <c r="B17" s="42">
        <v>6</v>
      </c>
      <c r="C17" s="42">
        <v>3</v>
      </c>
      <c r="D17" s="42" t="s">
        <v>9</v>
      </c>
      <c r="E17" s="42">
        <v>111</v>
      </c>
      <c r="F17" s="43">
        <v>7.3040864606083002E-3</v>
      </c>
      <c r="G17" s="44">
        <v>2.7503002694348599</v>
      </c>
      <c r="H17" s="45">
        <v>6.9632466301428001E-3</v>
      </c>
      <c r="J17" s="78"/>
      <c r="K17" s="67" t="s">
        <v>9</v>
      </c>
      <c r="L17" s="58">
        <v>7.3000000000000001E-3</v>
      </c>
      <c r="M17" s="58">
        <v>5.3E-3</v>
      </c>
      <c r="N17" s="58">
        <v>3.6999999999999997E-3</v>
      </c>
      <c r="O17" s="25">
        <v>2E-3</v>
      </c>
      <c r="P17" s="58">
        <v>4.1000000000000003E-3</v>
      </c>
      <c r="Q17" s="58">
        <v>3.5999999999999999E-3</v>
      </c>
      <c r="R17" s="58">
        <v>2.6999999999999997E-3</v>
      </c>
      <c r="S17" s="25">
        <v>8.9999999999999998E-4</v>
      </c>
    </row>
    <row r="18" spans="1:27">
      <c r="A18" s="48" t="s">
        <v>28</v>
      </c>
      <c r="B18" s="38">
        <v>6</v>
      </c>
      <c r="C18" s="38">
        <v>6</v>
      </c>
      <c r="D18" s="38" t="s">
        <v>7</v>
      </c>
      <c r="E18" s="38">
        <v>108</v>
      </c>
      <c r="F18" s="39">
        <v>-1.5534394742820999E-3</v>
      </c>
      <c r="G18" s="40">
        <v>-0.66038807516227105</v>
      </c>
      <c r="H18" s="41">
        <v>0.51042401490302303</v>
      </c>
      <c r="J18" s="70"/>
      <c r="K18" s="71"/>
      <c r="L18" s="20">
        <v>2.7503000000000002</v>
      </c>
      <c r="M18" s="20">
        <v>2.9316</v>
      </c>
      <c r="N18" s="20">
        <v>2.5133999999999999</v>
      </c>
      <c r="O18" s="30">
        <v>1.5589999999999999</v>
      </c>
      <c r="P18" s="20">
        <v>1.5234000000000001</v>
      </c>
      <c r="Q18" s="20">
        <v>1.9195</v>
      </c>
      <c r="R18" s="20">
        <v>1.8528</v>
      </c>
      <c r="S18" s="30">
        <v>0.66900000000000004</v>
      </c>
      <c r="T18" s="57"/>
      <c r="U18" s="57"/>
      <c r="V18" s="57"/>
      <c r="W18" s="57"/>
      <c r="X18" s="57"/>
      <c r="Y18" s="57"/>
      <c r="Z18" s="57"/>
      <c r="AA18" s="57"/>
    </row>
    <row r="19" spans="1:27">
      <c r="A19" s="48" t="s">
        <v>28</v>
      </c>
      <c r="B19" s="38">
        <v>6</v>
      </c>
      <c r="C19" s="38">
        <v>6</v>
      </c>
      <c r="D19" s="38" t="s">
        <v>8</v>
      </c>
      <c r="E19" s="38">
        <v>108</v>
      </c>
      <c r="F19" s="39">
        <v>3.7208820702449999E-3</v>
      </c>
      <c r="G19" s="40">
        <v>1.76491470986862</v>
      </c>
      <c r="H19" s="41">
        <v>8.0431282304630702E-2</v>
      </c>
      <c r="J19" s="87">
        <v>9</v>
      </c>
      <c r="K19" s="64" t="s">
        <v>7</v>
      </c>
      <c r="L19" s="58">
        <v>-3.8999999999999998E-3</v>
      </c>
      <c r="M19" s="58">
        <v>-4.5999999999999999E-3</v>
      </c>
      <c r="N19" s="58">
        <v>-5.1000000000000004E-3</v>
      </c>
      <c r="O19" s="25">
        <v>-4.1999999999999997E-3</v>
      </c>
      <c r="P19" s="58">
        <v>-1.5999999999999999E-3</v>
      </c>
      <c r="Q19" s="58">
        <v>-3.4999999999999996E-3</v>
      </c>
      <c r="R19" s="58">
        <v>-4.0000000000000001E-3</v>
      </c>
      <c r="S19" s="25">
        <v>-3.1999999999999997E-3</v>
      </c>
    </row>
    <row r="20" spans="1:27">
      <c r="A20" s="48" t="s">
        <v>28</v>
      </c>
      <c r="B20" s="42">
        <v>6</v>
      </c>
      <c r="C20" s="42">
        <v>6</v>
      </c>
      <c r="D20" s="42" t="s">
        <v>9</v>
      </c>
      <c r="E20" s="42">
        <v>108</v>
      </c>
      <c r="F20" s="43">
        <v>5.2743215445271996E-3</v>
      </c>
      <c r="G20" s="44">
        <v>2.9315565575670099</v>
      </c>
      <c r="H20" s="45">
        <v>4.1248008560350003E-3</v>
      </c>
      <c r="J20" s="62"/>
      <c r="K20" s="65"/>
      <c r="L20" s="19">
        <v>-1.0315000000000001</v>
      </c>
      <c r="M20" s="19">
        <v>-1.8452999999999999</v>
      </c>
      <c r="N20" s="19">
        <v>-2.5960999999999999</v>
      </c>
      <c r="O20" s="24">
        <v>-2.4887999999999999</v>
      </c>
      <c r="P20" s="19">
        <v>-0.41870000000000002</v>
      </c>
      <c r="Q20" s="19">
        <v>-1.3864000000000001</v>
      </c>
      <c r="R20" s="19">
        <v>-1.9665999999999999</v>
      </c>
      <c r="S20" s="24">
        <v>-1.8911</v>
      </c>
      <c r="T20" s="57"/>
      <c r="U20" s="57"/>
      <c r="V20" s="57"/>
      <c r="W20" s="57"/>
      <c r="X20" s="57"/>
      <c r="Y20" s="57"/>
      <c r="Z20" s="57"/>
      <c r="AA20" s="57"/>
    </row>
    <row r="21" spans="1:27">
      <c r="A21" s="48" t="s">
        <v>28</v>
      </c>
      <c r="B21" s="38">
        <v>6</v>
      </c>
      <c r="C21" s="38">
        <v>9</v>
      </c>
      <c r="D21" s="38" t="s">
        <v>7</v>
      </c>
      <c r="E21" s="38">
        <v>105</v>
      </c>
      <c r="F21" s="39">
        <v>-2.6717844524704998E-3</v>
      </c>
      <c r="G21" s="40">
        <v>-1.4189126631240701</v>
      </c>
      <c r="H21" s="41">
        <v>0.158914518777103</v>
      </c>
      <c r="J21" s="78"/>
      <c r="K21" s="66" t="s">
        <v>8</v>
      </c>
      <c r="L21" s="58">
        <v>5.3E-3</v>
      </c>
      <c r="M21" s="58">
        <v>1.6999999999999999E-3</v>
      </c>
      <c r="N21" s="58">
        <v>-7.9999999999999993E-4</v>
      </c>
      <c r="O21" s="25">
        <v>-2E-3</v>
      </c>
      <c r="P21" s="58">
        <v>4.8999999999999998E-3</v>
      </c>
      <c r="Q21" s="58">
        <v>1.4E-3</v>
      </c>
      <c r="R21" s="58">
        <v>-7.9999999999999993E-4</v>
      </c>
      <c r="S21" s="25">
        <v>-1.9000000000000002E-3</v>
      </c>
    </row>
    <row r="22" spans="1:27">
      <c r="A22" s="48" t="s">
        <v>28</v>
      </c>
      <c r="B22" s="38">
        <v>6</v>
      </c>
      <c r="C22" s="38">
        <v>9</v>
      </c>
      <c r="D22" s="38" t="s">
        <v>8</v>
      </c>
      <c r="E22" s="38">
        <v>105</v>
      </c>
      <c r="F22" s="39">
        <v>9.8288654512470003E-4</v>
      </c>
      <c r="G22" s="40">
        <v>0.57390834375435296</v>
      </c>
      <c r="H22" s="41">
        <v>0.56726895011975798</v>
      </c>
      <c r="J22" s="62"/>
      <c r="K22" s="65"/>
      <c r="L22" s="19">
        <v>1.9054</v>
      </c>
      <c r="M22" s="19">
        <v>0.80579999999999996</v>
      </c>
      <c r="N22" s="19">
        <v>-0.45700000000000002</v>
      </c>
      <c r="O22" s="24">
        <v>-1.2072000000000001</v>
      </c>
      <c r="P22" s="19">
        <v>1.8867</v>
      </c>
      <c r="Q22" s="19">
        <v>0.69320000000000004</v>
      </c>
      <c r="R22" s="19">
        <v>-0.45190000000000002</v>
      </c>
      <c r="S22" s="24">
        <v>-1.1795</v>
      </c>
      <c r="T22" s="57"/>
      <c r="U22" s="57"/>
      <c r="V22" s="57"/>
      <c r="W22" s="57"/>
      <c r="X22" s="57"/>
      <c r="Y22" s="57"/>
      <c r="Z22" s="57"/>
      <c r="AA22" s="57"/>
    </row>
    <row r="23" spans="1:27">
      <c r="A23" s="48" t="s">
        <v>28</v>
      </c>
      <c r="B23" s="42">
        <v>6</v>
      </c>
      <c r="C23" s="42">
        <v>9</v>
      </c>
      <c r="D23" s="42" t="s">
        <v>9</v>
      </c>
      <c r="E23" s="42">
        <v>105</v>
      </c>
      <c r="F23" s="43">
        <v>3.6546709975952001E-3</v>
      </c>
      <c r="G23" s="44">
        <v>2.5134105758254699</v>
      </c>
      <c r="H23" s="45">
        <v>1.34911858930978E-2</v>
      </c>
      <c r="J23" s="78"/>
      <c r="K23" s="67" t="s">
        <v>9</v>
      </c>
      <c r="L23" s="58">
        <v>9.2999999999999992E-3</v>
      </c>
      <c r="M23" s="58">
        <v>6.3999999999999994E-3</v>
      </c>
      <c r="N23" s="58">
        <v>4.3E-3</v>
      </c>
      <c r="O23" s="25">
        <v>2.2000000000000001E-3</v>
      </c>
      <c r="P23" s="58">
        <v>6.6000000000000008E-3</v>
      </c>
      <c r="Q23" s="58">
        <v>5.0000000000000001E-3</v>
      </c>
      <c r="R23" s="58">
        <v>3.1999999999999997E-3</v>
      </c>
      <c r="S23" s="25">
        <v>1.2999999999999999E-3</v>
      </c>
    </row>
    <row r="24" spans="1:27">
      <c r="A24" s="48" t="s">
        <v>28</v>
      </c>
      <c r="B24" s="38">
        <v>6</v>
      </c>
      <c r="C24" s="38">
        <v>12</v>
      </c>
      <c r="D24" s="38" t="s">
        <v>7</v>
      </c>
      <c r="E24" s="38">
        <v>102</v>
      </c>
      <c r="F24" s="39">
        <v>-3.1289804669395998E-3</v>
      </c>
      <c r="G24" s="40">
        <v>-1.87903873797604</v>
      </c>
      <c r="H24" s="41">
        <v>6.3122393059007603E-2</v>
      </c>
      <c r="J24" s="70"/>
      <c r="K24" s="71"/>
      <c r="L24" s="20">
        <v>3.1036999999999999</v>
      </c>
      <c r="M24" s="20">
        <v>3.0554000000000001</v>
      </c>
      <c r="N24" s="20">
        <v>2.4638</v>
      </c>
      <c r="O24" s="30">
        <v>1.4973000000000001</v>
      </c>
      <c r="P24" s="20">
        <v>2.1185</v>
      </c>
      <c r="Q24" s="20">
        <v>2.3252000000000002</v>
      </c>
      <c r="R24" s="20">
        <v>1.8236000000000001</v>
      </c>
      <c r="S24" s="30">
        <v>0.86360000000000003</v>
      </c>
      <c r="T24" s="57"/>
      <c r="U24" s="57"/>
      <c r="V24" s="57"/>
      <c r="W24" s="57"/>
      <c r="X24" s="57"/>
      <c r="Y24" s="57"/>
      <c r="Z24" s="57"/>
      <c r="AA24" s="57"/>
    </row>
    <row r="25" spans="1:27">
      <c r="A25" s="48" t="s">
        <v>28</v>
      </c>
      <c r="B25" s="38">
        <v>6</v>
      </c>
      <c r="C25" s="38">
        <v>12</v>
      </c>
      <c r="D25" s="38" t="s">
        <v>8</v>
      </c>
      <c r="E25" s="38">
        <v>102</v>
      </c>
      <c r="F25" s="39">
        <v>-1.1439242422064001E-3</v>
      </c>
      <c r="G25" s="40">
        <v>-0.75726305943341798</v>
      </c>
      <c r="H25" s="41">
        <v>0.450655328237206</v>
      </c>
      <c r="J25" s="87">
        <v>12</v>
      </c>
      <c r="K25" s="64" t="s">
        <v>7</v>
      </c>
      <c r="L25" s="58">
        <v>-6.3E-3</v>
      </c>
      <c r="M25" s="58">
        <v>-5.3E-3</v>
      </c>
      <c r="N25" s="58">
        <v>-3.6999999999999997E-3</v>
      </c>
      <c r="O25" s="25">
        <v>-2E-3</v>
      </c>
      <c r="P25" s="58">
        <v>-4.5999999999999999E-3</v>
      </c>
      <c r="Q25" s="58">
        <v>-4.0000000000000001E-3</v>
      </c>
      <c r="R25" s="58">
        <v>-2.5000000000000001E-3</v>
      </c>
      <c r="S25" s="25">
        <v>-1.2000000000000001E-3</v>
      </c>
    </row>
    <row r="26" spans="1:27">
      <c r="A26" s="48" t="s">
        <v>28</v>
      </c>
      <c r="B26" s="42">
        <v>6</v>
      </c>
      <c r="C26" s="42">
        <v>12</v>
      </c>
      <c r="D26" s="42" t="s">
        <v>9</v>
      </c>
      <c r="E26" s="42">
        <v>102</v>
      </c>
      <c r="F26" s="43">
        <v>1.9850562247332002E-3</v>
      </c>
      <c r="G26" s="44">
        <v>1.5589622178238001</v>
      </c>
      <c r="H26" s="45">
        <v>0.12213338072442</v>
      </c>
      <c r="J26" s="62"/>
      <c r="K26" s="65"/>
      <c r="L26" s="19">
        <v>-1.5871999999999999</v>
      </c>
      <c r="M26" s="19">
        <v>-2.0455999999999999</v>
      </c>
      <c r="N26" s="19">
        <v>-1.8386</v>
      </c>
      <c r="O26" s="24">
        <v>-1.2111000000000001</v>
      </c>
      <c r="P26" s="19">
        <v>-1.1795</v>
      </c>
      <c r="Q26" s="19">
        <v>-1.5495000000000001</v>
      </c>
      <c r="R26" s="19">
        <v>-1.2190000000000001</v>
      </c>
      <c r="S26" s="24">
        <v>-0.75460000000000005</v>
      </c>
      <c r="T26" s="57"/>
      <c r="U26" s="57"/>
      <c r="V26" s="57"/>
      <c r="W26" s="57"/>
      <c r="X26" s="57"/>
      <c r="Y26" s="57"/>
      <c r="Z26" s="57"/>
      <c r="AA26" s="57"/>
    </row>
    <row r="27" spans="1:27">
      <c r="A27" s="48" t="s">
        <v>28</v>
      </c>
      <c r="B27" s="38">
        <v>9</v>
      </c>
      <c r="C27" s="38">
        <v>3</v>
      </c>
      <c r="D27" s="38" t="s">
        <v>7</v>
      </c>
      <c r="E27" s="38">
        <v>108</v>
      </c>
      <c r="F27" s="39">
        <v>-3.9187415090948998E-3</v>
      </c>
      <c r="G27" s="40">
        <v>-1.03153405528811</v>
      </c>
      <c r="H27" s="41">
        <v>0.30461643153597601</v>
      </c>
      <c r="J27" s="78"/>
      <c r="K27" s="66" t="s">
        <v>8</v>
      </c>
      <c r="L27" s="58">
        <v>1.5999999999999999E-3</v>
      </c>
      <c r="M27" s="58">
        <v>-1E-3</v>
      </c>
      <c r="N27" s="58">
        <v>-1.5E-3</v>
      </c>
      <c r="O27" s="25">
        <v>-1.4E-3</v>
      </c>
      <c r="P27" s="58">
        <v>2E-3</v>
      </c>
      <c r="Q27" s="58">
        <v>-8.9999999999999998E-4</v>
      </c>
      <c r="R27" s="58">
        <v>-1.1000000000000001E-3</v>
      </c>
      <c r="S27" s="25">
        <v>-1E-3</v>
      </c>
    </row>
    <row r="28" spans="1:27">
      <c r="A28" s="48" t="s">
        <v>28</v>
      </c>
      <c r="B28" s="38">
        <v>9</v>
      </c>
      <c r="C28" s="38">
        <v>3</v>
      </c>
      <c r="D28" s="38" t="s">
        <v>8</v>
      </c>
      <c r="E28" s="38">
        <v>108</v>
      </c>
      <c r="F28" s="39">
        <v>5.3379684608910998E-3</v>
      </c>
      <c r="G28" s="40">
        <v>1.9053940615151601</v>
      </c>
      <c r="H28" s="41">
        <v>5.9413008610142398E-2</v>
      </c>
      <c r="J28" s="62"/>
      <c r="K28" s="65"/>
      <c r="L28" s="19">
        <v>0.54749999999999999</v>
      </c>
      <c r="M28" s="19">
        <v>-0.43190000000000001</v>
      </c>
      <c r="N28" s="19">
        <v>-0.7913</v>
      </c>
      <c r="O28" s="24">
        <v>-0.8034</v>
      </c>
      <c r="P28" s="19">
        <v>0.69879999999999998</v>
      </c>
      <c r="Q28" s="19">
        <v>-0.3876</v>
      </c>
      <c r="R28" s="19">
        <v>-0.5877</v>
      </c>
      <c r="S28" s="24">
        <v>-0.5927</v>
      </c>
      <c r="T28" s="57"/>
      <c r="U28" s="57"/>
      <c r="V28" s="57"/>
      <c r="W28" s="57"/>
      <c r="X28" s="57"/>
      <c r="Y28" s="57"/>
      <c r="Z28" s="57"/>
      <c r="AA28" s="57"/>
    </row>
    <row r="29" spans="1:27">
      <c r="A29" s="48" t="s">
        <v>28</v>
      </c>
      <c r="B29" s="42">
        <v>9</v>
      </c>
      <c r="C29" s="42">
        <v>3</v>
      </c>
      <c r="D29" s="42" t="s">
        <v>9</v>
      </c>
      <c r="E29" s="42">
        <v>108</v>
      </c>
      <c r="F29" s="43">
        <v>9.2567099699861002E-3</v>
      </c>
      <c r="G29" s="44">
        <v>3.1037477074056898</v>
      </c>
      <c r="H29" s="45">
        <v>2.4449990476994999E-3</v>
      </c>
      <c r="J29" s="78"/>
      <c r="K29" s="67" t="s">
        <v>9</v>
      </c>
      <c r="L29" s="58">
        <v>7.899999999999999E-3</v>
      </c>
      <c r="M29" s="58">
        <v>4.3E-3</v>
      </c>
      <c r="N29" s="58">
        <v>2.2000000000000001E-3</v>
      </c>
      <c r="O29" s="25">
        <v>6.9999999999999999E-4</v>
      </c>
      <c r="P29" s="58">
        <v>6.6000000000000008E-3</v>
      </c>
      <c r="Q29" s="58">
        <v>3.1000000000000003E-3</v>
      </c>
      <c r="R29" s="58">
        <v>1.4E-3</v>
      </c>
      <c r="S29" s="25">
        <v>3.0000000000000003E-4</v>
      </c>
    </row>
    <row r="30" spans="1:27">
      <c r="A30" s="48" t="s">
        <v>28</v>
      </c>
      <c r="B30" s="38">
        <v>9</v>
      </c>
      <c r="C30" s="38">
        <v>6</v>
      </c>
      <c r="D30" s="38" t="s">
        <v>7</v>
      </c>
      <c r="E30" s="38">
        <v>105</v>
      </c>
      <c r="F30" s="39">
        <v>-4.6460669938727999E-3</v>
      </c>
      <c r="G30" s="40">
        <v>-1.8452796159171601</v>
      </c>
      <c r="H30" s="41">
        <v>6.7842011140140698E-2</v>
      </c>
      <c r="J30" s="63"/>
      <c r="K30" s="68"/>
      <c r="L30" s="26">
        <v>2.3940999999999999</v>
      </c>
      <c r="M30" s="26">
        <v>1.7961</v>
      </c>
      <c r="N30" s="26">
        <v>1.1527000000000001</v>
      </c>
      <c r="O30" s="27">
        <v>0.41649999999999998</v>
      </c>
      <c r="P30" s="26">
        <v>2.0009000000000001</v>
      </c>
      <c r="Q30" s="26">
        <v>1.2951999999999999</v>
      </c>
      <c r="R30" s="26">
        <v>0.76529999999999998</v>
      </c>
      <c r="S30" s="27">
        <v>0.17369999999999999</v>
      </c>
      <c r="T30" s="57"/>
      <c r="U30" s="57"/>
      <c r="V30" s="57"/>
      <c r="W30" s="57"/>
      <c r="X30" s="57"/>
      <c r="Y30" s="57"/>
      <c r="Z30" s="57"/>
      <c r="AA30" s="57"/>
    </row>
    <row r="31" spans="1:27">
      <c r="A31" s="48" t="s">
        <v>28</v>
      </c>
      <c r="B31" s="38">
        <v>9</v>
      </c>
      <c r="C31" s="38">
        <v>6</v>
      </c>
      <c r="D31" s="38" t="s">
        <v>8</v>
      </c>
      <c r="E31" s="38">
        <v>105</v>
      </c>
      <c r="F31" s="39">
        <v>1.7401771014926E-3</v>
      </c>
      <c r="G31" s="40">
        <v>0.80583796976413102</v>
      </c>
      <c r="H31" s="41">
        <v>0.42217500365689098</v>
      </c>
    </row>
    <row r="32" spans="1:27">
      <c r="A32" s="48" t="s">
        <v>28</v>
      </c>
      <c r="B32" s="42">
        <v>9</v>
      </c>
      <c r="C32" s="42">
        <v>6</v>
      </c>
      <c r="D32" s="42" t="s">
        <v>9</v>
      </c>
      <c r="E32" s="42">
        <v>105</v>
      </c>
      <c r="F32" s="43">
        <v>6.3862440953653997E-3</v>
      </c>
      <c r="G32" s="44">
        <v>3.0554233915559101</v>
      </c>
      <c r="H32" s="45">
        <v>2.8555601333150999E-3</v>
      </c>
      <c r="T32" s="57"/>
      <c r="U32" s="57"/>
      <c r="V32" s="57"/>
      <c r="W32" s="57"/>
      <c r="X32" s="57"/>
      <c r="Y32" s="57"/>
      <c r="Z32" s="57"/>
      <c r="AA32" s="57"/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102</v>
      </c>
      <c r="F33" s="39">
        <v>-5.0761110411963002E-3</v>
      </c>
      <c r="G33" s="40">
        <v>-2.5960831053247402</v>
      </c>
      <c r="H33" s="41">
        <v>1.08344810997946E-2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102</v>
      </c>
      <c r="F34" s="39">
        <v>-8.2541269461839999E-4</v>
      </c>
      <c r="G34" s="40">
        <v>-0.456973058694427</v>
      </c>
      <c r="H34" s="41">
        <v>0.64867175179984005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102</v>
      </c>
      <c r="F35" s="43">
        <v>4.2506983465778999E-3</v>
      </c>
      <c r="G35" s="44">
        <v>2.46383983976351</v>
      </c>
      <c r="H35" s="45">
        <v>1.54351903402179E-2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99</v>
      </c>
      <c r="F36" s="39">
        <v>-4.1693069825235003E-3</v>
      </c>
      <c r="G36" s="40">
        <v>-2.4887932538215098</v>
      </c>
      <c r="H36" s="41">
        <v>1.45034177375411E-2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99</v>
      </c>
      <c r="F37" s="39">
        <v>-2.0107585505572002E-3</v>
      </c>
      <c r="G37" s="40">
        <v>-1.2072458974546501</v>
      </c>
      <c r="H37" s="41">
        <v>0.230243209574446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99</v>
      </c>
      <c r="F38" s="43">
        <v>2.1585484319663001E-3</v>
      </c>
      <c r="G38" s="44">
        <v>1.4973435709845</v>
      </c>
      <c r="H38" s="45">
        <v>0.137517874084606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105</v>
      </c>
      <c r="F39" s="39">
        <v>-6.2714954212127003E-3</v>
      </c>
      <c r="G39" s="40">
        <v>-1.5872096443599</v>
      </c>
      <c r="H39" s="41">
        <v>0.115500990547132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105</v>
      </c>
      <c r="F40" s="39">
        <v>1.6259386961056E-3</v>
      </c>
      <c r="G40" s="40">
        <v>0.54748624687013803</v>
      </c>
      <c r="H40" s="41">
        <v>0.58521774318521502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105</v>
      </c>
      <c r="F41" s="43">
        <v>7.8974341173183998E-3</v>
      </c>
      <c r="G41" s="44">
        <v>2.3940530797378501</v>
      </c>
      <c r="H41" s="45">
        <v>1.84543920344299E-2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102</v>
      </c>
      <c r="F42" s="39">
        <v>-5.3341011422058E-3</v>
      </c>
      <c r="G42" s="40">
        <v>-2.04559345758928</v>
      </c>
      <c r="H42" s="41">
        <v>4.3395842062328001E-2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102</v>
      </c>
      <c r="F43" s="39">
        <v>-1.0142019304252999E-3</v>
      </c>
      <c r="G43" s="40">
        <v>-0.43185719807460499</v>
      </c>
      <c r="H43" s="41">
        <v>0.66676572849334503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102</v>
      </c>
      <c r="F44" s="43">
        <v>4.3198992117803999E-3</v>
      </c>
      <c r="G44" s="44">
        <v>1.7961001908593499</v>
      </c>
      <c r="H44" s="45">
        <v>7.5468372400897502E-2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99</v>
      </c>
      <c r="F45" s="39">
        <v>-3.6961689736221002E-3</v>
      </c>
      <c r="G45" s="40">
        <v>-1.83863673384587</v>
      </c>
      <c r="H45" s="41">
        <v>6.8997137738028097E-2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99</v>
      </c>
      <c r="F46" s="39">
        <v>-1.5326257103146E-3</v>
      </c>
      <c r="G46" s="40">
        <v>-0.79128468414528297</v>
      </c>
      <c r="H46" s="41">
        <v>0.43068884078554198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99</v>
      </c>
      <c r="F47" s="43">
        <v>2.1635432633074002E-3</v>
      </c>
      <c r="G47" s="44">
        <v>1.1527188697619599</v>
      </c>
      <c r="H47" s="45">
        <v>0.25182978196497302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96</v>
      </c>
      <c r="F48" s="39">
        <v>-2.0269976615801999E-3</v>
      </c>
      <c r="G48" s="40">
        <v>-1.2110937857088799</v>
      </c>
      <c r="H48" s="41">
        <v>0.228863642026401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96</v>
      </c>
      <c r="F49" s="39">
        <v>-1.3605787025131001E-3</v>
      </c>
      <c r="G49" s="40">
        <v>-0.80339904744870705</v>
      </c>
      <c r="H49" s="41">
        <v>0.42374972779748699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96</v>
      </c>
      <c r="F50" s="43">
        <v>6.6641895906699997E-4</v>
      </c>
      <c r="G50" s="44">
        <v>0.41645597912357801</v>
      </c>
      <c r="H50" s="45">
        <v>0.67801578786753802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114</v>
      </c>
      <c r="F51" s="39">
        <v>-8.2751856320469996E-4</v>
      </c>
      <c r="G51" s="40">
        <v>-0.22817615548283701</v>
      </c>
      <c r="H51" s="41">
        <v>0.81992168385813902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114</v>
      </c>
      <c r="F52" s="39">
        <v>6.5853424584616004E-3</v>
      </c>
      <c r="G52" s="40">
        <v>2.30003847875594</v>
      </c>
      <c r="H52" s="41">
        <v>2.32819999910297E-2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114</v>
      </c>
      <c r="F53" s="43">
        <v>7.4128610216662996E-3</v>
      </c>
      <c r="G53" s="44">
        <v>2.5839720973413098</v>
      </c>
      <c r="H53" s="45">
        <v>1.1041729774676099E-2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111</v>
      </c>
      <c r="F54" s="39">
        <v>-8.9302853177309998E-4</v>
      </c>
      <c r="G54" s="40">
        <v>-0.40500536304797202</v>
      </c>
      <c r="H54" s="41">
        <v>0.68626011397502396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111</v>
      </c>
      <c r="F55" s="39">
        <v>4.9441089222210001E-3</v>
      </c>
      <c r="G55" s="40">
        <v>2.2524281009316698</v>
      </c>
      <c r="H55" s="41">
        <v>2.62799871218844E-2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111</v>
      </c>
      <c r="F56" s="43">
        <v>5.8371374539941002E-3</v>
      </c>
      <c r="G56" s="44">
        <v>2.9517221742948001</v>
      </c>
      <c r="H56" s="45">
        <v>3.8631740205608998E-3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108</v>
      </c>
      <c r="F57" s="39">
        <v>-1.9423121145691999E-3</v>
      </c>
      <c r="G57" s="40">
        <v>-1.04944848559346</v>
      </c>
      <c r="H57" s="41">
        <v>0.296336326186114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108</v>
      </c>
      <c r="F58" s="39">
        <v>3.7390216530995999E-3</v>
      </c>
      <c r="G58" s="40">
        <v>2.16759662171245</v>
      </c>
      <c r="H58" s="41">
        <v>3.2406134412795599E-2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108</v>
      </c>
      <c r="F59" s="43">
        <v>5.6813337676688003E-3</v>
      </c>
      <c r="G59" s="44">
        <v>3.6038535989612899</v>
      </c>
      <c r="H59" s="45">
        <v>4.7753203389339999E-4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105</v>
      </c>
      <c r="F60" s="39">
        <v>-2.8640813765912999E-3</v>
      </c>
      <c r="G60" s="40">
        <v>-1.62670606627634</v>
      </c>
      <c r="H60" s="41">
        <v>0.10682581176448901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105</v>
      </c>
      <c r="F61" s="39">
        <v>1.3069504356747E-3</v>
      </c>
      <c r="G61" s="40">
        <v>0.86292530354713204</v>
      </c>
      <c r="H61" s="41">
        <v>0.39016413597654998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105</v>
      </c>
      <c r="F62" s="43">
        <v>4.1710318122661003E-3</v>
      </c>
      <c r="G62" s="44">
        <v>2.7839440970238201</v>
      </c>
      <c r="H62" s="45">
        <v>6.3807209904379004E-3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111</v>
      </c>
      <c r="F63" s="39">
        <v>3.5231335708813201E-5</v>
      </c>
      <c r="G63" s="40">
        <v>9.8917189137128995E-3</v>
      </c>
      <c r="H63" s="41">
        <v>0.99212559655126598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111</v>
      </c>
      <c r="F64" s="39">
        <v>4.1632146011436003E-3</v>
      </c>
      <c r="G64" s="40">
        <v>1.5276412794357801</v>
      </c>
      <c r="H64" s="41">
        <v>0.12947206429102401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111</v>
      </c>
      <c r="F65" s="43">
        <v>4.1279832654347003E-3</v>
      </c>
      <c r="G65" s="44">
        <v>1.5234147287409501</v>
      </c>
      <c r="H65" s="45">
        <v>0.13052478247176599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108</v>
      </c>
      <c r="F66" s="39">
        <v>-4.0751629336179999E-4</v>
      </c>
      <c r="G66" s="40">
        <v>-0.17501428457943299</v>
      </c>
      <c r="H66" s="41">
        <v>0.86139915701846204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108</v>
      </c>
      <c r="F67" s="39">
        <v>3.1759619373862001E-3</v>
      </c>
      <c r="G67" s="40">
        <v>1.5462903737776199</v>
      </c>
      <c r="H67" s="41">
        <v>0.124987084319546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108</v>
      </c>
      <c r="F68" s="43">
        <v>3.5834782307481001E-3</v>
      </c>
      <c r="G68" s="44">
        <v>1.9194862359054901</v>
      </c>
      <c r="H68" s="45">
        <v>5.7586230126799601E-2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105</v>
      </c>
      <c r="F69" s="39">
        <v>-1.9386986643753E-3</v>
      </c>
      <c r="G69" s="40">
        <v>-1.0086291140908601</v>
      </c>
      <c r="H69" s="41">
        <v>0.31549348833740998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105</v>
      </c>
      <c r="F70" s="39">
        <v>7.4986133153079999E-4</v>
      </c>
      <c r="G70" s="40">
        <v>0.45684343486844903</v>
      </c>
      <c r="H70" s="41">
        <v>0.64873635147562903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105</v>
      </c>
      <c r="F71" s="43">
        <v>2.6885599959062E-3</v>
      </c>
      <c r="G71" s="44">
        <v>1.85275875673048</v>
      </c>
      <c r="H71" s="45">
        <v>6.6752404685791494E-2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102</v>
      </c>
      <c r="F72" s="39">
        <v>-2.3912243513662E-3</v>
      </c>
      <c r="G72" s="40">
        <v>-1.4163082689762201</v>
      </c>
      <c r="H72" s="41">
        <v>0.15976204177817999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102</v>
      </c>
      <c r="F73" s="39">
        <v>-1.5199785790156999E-3</v>
      </c>
      <c r="G73" s="40">
        <v>-1.0111234554806601</v>
      </c>
      <c r="H73" s="41">
        <v>0.31437354497446401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102</v>
      </c>
      <c r="F74" s="43">
        <v>8.7124577235039998E-4</v>
      </c>
      <c r="G74" s="44">
        <v>0.66904125658996605</v>
      </c>
      <c r="H74" s="45">
        <v>0.50499557609953205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108</v>
      </c>
      <c r="F75" s="39">
        <v>-1.6180092500366E-3</v>
      </c>
      <c r="G75" s="40">
        <v>-0.41873147794952997</v>
      </c>
      <c r="H75" s="41">
        <v>0.67625170916493105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108</v>
      </c>
      <c r="F76" s="39">
        <v>4.9396380179902999E-3</v>
      </c>
      <c r="G76" s="40">
        <v>1.88673782143464</v>
      </c>
      <c r="H76" s="41">
        <v>6.1906217697621502E-2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108</v>
      </c>
      <c r="F77" s="43">
        <v>6.5576472680269997E-3</v>
      </c>
      <c r="G77" s="44">
        <v>2.11845665465875</v>
      </c>
      <c r="H77" s="45">
        <v>3.6451238384247499E-2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105</v>
      </c>
      <c r="F78" s="39">
        <v>-3.5149273513721E-3</v>
      </c>
      <c r="G78" s="40">
        <v>-1.3863592674431799</v>
      </c>
      <c r="H78" s="41">
        <v>0.16860219199904899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105</v>
      </c>
      <c r="F79" s="39">
        <v>1.4400572222367E-3</v>
      </c>
      <c r="G79" s="40">
        <v>0.69321054603731602</v>
      </c>
      <c r="H79" s="41">
        <v>0.48972266291094302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105</v>
      </c>
      <c r="F80" s="43">
        <v>4.9549845736088999E-3</v>
      </c>
      <c r="G80" s="44">
        <v>2.3252055583459899</v>
      </c>
      <c r="H80" s="45">
        <v>2.2002806703119802E-2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102</v>
      </c>
      <c r="F81" s="39">
        <v>-3.9716456991525997E-3</v>
      </c>
      <c r="G81" s="40">
        <v>-1.9665861037041801</v>
      </c>
      <c r="H81" s="41">
        <v>5.1975107879266402E-2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102</v>
      </c>
      <c r="F82" s="39">
        <v>-7.8598883872499998E-4</v>
      </c>
      <c r="G82" s="40">
        <v>-0.45185728772856998</v>
      </c>
      <c r="H82" s="41">
        <v>0.65234067536986495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102</v>
      </c>
      <c r="F83" s="43">
        <v>3.1856568604276001E-3</v>
      </c>
      <c r="G83" s="44">
        <v>1.8235544964744099</v>
      </c>
      <c r="H83" s="45">
        <v>7.1176914669757299E-2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99</v>
      </c>
      <c r="F84" s="39">
        <v>-3.1995327500288001E-3</v>
      </c>
      <c r="G84" s="40">
        <v>-1.8911376651929599</v>
      </c>
      <c r="H84" s="41">
        <v>6.1559378082378102E-2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99</v>
      </c>
      <c r="F85" s="39">
        <v>-1.9395292624786E-3</v>
      </c>
      <c r="G85" s="40">
        <v>-1.17946790866607</v>
      </c>
      <c r="H85" s="41">
        <v>0.241067319780082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99</v>
      </c>
      <c r="F86" s="43">
        <v>1.2600034875500999E-3</v>
      </c>
      <c r="G86" s="44">
        <v>0.86356365041243399</v>
      </c>
      <c r="H86" s="45">
        <v>0.389936251098154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105</v>
      </c>
      <c r="F87" s="39">
        <v>-4.6171090681321999E-3</v>
      </c>
      <c r="G87" s="40">
        <v>-1.1794652462778801</v>
      </c>
      <c r="H87" s="41">
        <v>0.240904067119488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105</v>
      </c>
      <c r="F88" s="39">
        <v>1.9730707414648001E-3</v>
      </c>
      <c r="G88" s="40">
        <v>0.69877581129333899</v>
      </c>
      <c r="H88" s="41">
        <v>0.48625186529964098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105</v>
      </c>
      <c r="F89" s="43">
        <v>6.5901798095971001E-3</v>
      </c>
      <c r="G89" s="44">
        <v>2.0008733812692099</v>
      </c>
      <c r="H89" s="45">
        <v>4.8011661832282899E-2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102</v>
      </c>
      <c r="F90" s="39">
        <v>-4.0070875169785003E-3</v>
      </c>
      <c r="G90" s="40">
        <v>-1.5495468352544399</v>
      </c>
      <c r="H90" s="41">
        <v>0.124378211392982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102</v>
      </c>
      <c r="F91" s="39">
        <v>-8.8788210582530001E-4</v>
      </c>
      <c r="G91" s="40">
        <v>-0.38756315312713202</v>
      </c>
      <c r="H91" s="41">
        <v>0.69915488301748796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102</v>
      </c>
      <c r="F92" s="43">
        <v>3.1192054111531999E-3</v>
      </c>
      <c r="G92" s="44">
        <v>1.2951920677836199</v>
      </c>
      <c r="H92" s="45">
        <v>0.19820669110046199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99</v>
      </c>
      <c r="F93" s="39">
        <v>-2.4986755554080998E-3</v>
      </c>
      <c r="G93" s="40">
        <v>-1.21904452269551</v>
      </c>
      <c r="H93" s="41">
        <v>0.22575344328187599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99</v>
      </c>
      <c r="F94" s="39">
        <v>-1.0874640083138999E-3</v>
      </c>
      <c r="G94" s="40">
        <v>-0.58765522882508203</v>
      </c>
      <c r="H94" s="41">
        <v>0.55811538996909105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99</v>
      </c>
      <c r="F95" s="43">
        <v>1.4112115470941999E-3</v>
      </c>
      <c r="G95" s="44">
        <v>0.76529987189599002</v>
      </c>
      <c r="H95" s="45">
        <v>0.44593215395003299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96</v>
      </c>
      <c r="F96" s="39">
        <v>-1.2499670122881001E-3</v>
      </c>
      <c r="G96" s="40">
        <v>-0.75464302770791103</v>
      </c>
      <c r="H96" s="41">
        <v>0.45232987972859101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96</v>
      </c>
      <c r="F97" s="39">
        <v>-9.7525866842090002E-4</v>
      </c>
      <c r="G97" s="40">
        <v>-0.59274214203425302</v>
      </c>
      <c r="H97" s="41">
        <v>0.55476209667366005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96</v>
      </c>
      <c r="F98" s="43">
        <v>2.7470834386710002E-4</v>
      </c>
      <c r="G98" s="44">
        <v>0.17368330212539701</v>
      </c>
      <c r="H98" s="45">
        <v>0.86248391663282897</v>
      </c>
    </row>
  </sheetData>
  <autoFilter ref="A2:H2">
    <sortState ref="A3:H98">
      <sortCondition ref="A2"/>
    </sortState>
  </autoFilter>
  <mergeCells count="20">
    <mergeCell ref="J25:J30"/>
    <mergeCell ref="K25:K26"/>
    <mergeCell ref="K27:K28"/>
    <mergeCell ref="K29:K30"/>
    <mergeCell ref="J13:J18"/>
    <mergeCell ref="K13:K14"/>
    <mergeCell ref="K15:K16"/>
    <mergeCell ref="K17:K18"/>
    <mergeCell ref="J19:J24"/>
    <mergeCell ref="K19:K20"/>
    <mergeCell ref="K21:K22"/>
    <mergeCell ref="K23:K24"/>
    <mergeCell ref="J7:J12"/>
    <mergeCell ref="K7:K8"/>
    <mergeCell ref="K9:K10"/>
    <mergeCell ref="K11:K12"/>
    <mergeCell ref="A1:H1"/>
    <mergeCell ref="J4:S4"/>
    <mergeCell ref="L5:O5"/>
    <mergeCell ref="P5:S5"/>
  </mergeCells>
  <phoneticPr fontId="19" type="noConversion"/>
  <conditionalFormatting sqref="F2">
    <cfRule type="cellIs" dxfId="85" priority="26" operator="lessThan">
      <formula>0</formula>
    </cfRule>
    <cfRule type="cellIs" dxfId="84" priority="27" operator="greaterThan">
      <formula>0</formula>
    </cfRule>
  </conditionalFormatting>
  <conditionalFormatting sqref="H2">
    <cfRule type="cellIs" dxfId="83" priority="25" operator="lessThan">
      <formula>0.05</formula>
    </cfRule>
  </conditionalFormatting>
  <conditionalFormatting sqref="L7:S7 L9:S9 L11:S11 L13:S13 L19:S19 L25:S25 L15:S15 L21:S21 L27:S27 L17:S17 L23:S23 L29:S29">
    <cfRule type="expression" dxfId="82" priority="6">
      <formula>OR(L8&gt;1.96,L8&lt;-1.96)</formula>
    </cfRule>
  </conditionalFormatting>
  <conditionalFormatting sqref="L8:S8 L10:S10 L12:S12">
    <cfRule type="cellIs" dxfId="81" priority="5" operator="between">
      <formula>-1.96</formula>
      <formula>1.96</formula>
    </cfRule>
    <cfRule type="cellIs" dxfId="80" priority="7" operator="notBetween">
      <formula>1.96</formula>
      <formula>-1.96</formula>
    </cfRule>
  </conditionalFormatting>
  <conditionalFormatting sqref="L14:S14 L20:S20 L26:S26 L16:S16 L22:S22 L28:S28 L18:S18 L24:S24 L30:S30">
    <cfRule type="cellIs" dxfId="79" priority="1" operator="between">
      <formula>-1.96</formula>
      <formula>1.96</formula>
    </cfRule>
    <cfRule type="cellIs" dxfId="78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55"/>
  <sheetViews>
    <sheetView workbookViewId="0">
      <pane ySplit="2" topLeftCell="A39" activePane="bottomLeft" state="frozen"/>
      <selection activeCell="E26" sqref="E26"/>
      <selection pane="bottomLeft" sqref="A1:I1"/>
    </sheetView>
  </sheetViews>
  <sheetFormatPr defaultRowHeight="16.5"/>
  <cols>
    <col min="1" max="2" width="10.5" style="31" customWidth="1"/>
    <col min="3" max="3" width="12.5" style="31" bestFit="1" customWidth="1"/>
    <col min="4" max="4" width="6.875" style="31" bestFit="1" customWidth="1"/>
    <col min="5" max="5" width="10.5" style="31" bestFit="1" customWidth="1"/>
    <col min="6" max="6" width="10.625" style="31" bestFit="1" customWidth="1"/>
    <col min="7" max="7" width="10.5" style="31" customWidth="1"/>
    <col min="8" max="9" width="13.625" style="31" customWidth="1"/>
    <col min="11" max="11" width="10.625" customWidth="1"/>
    <col min="12" max="12" width="15.625" customWidth="1"/>
    <col min="13" max="16" width="12.625" customWidth="1"/>
    <col min="17" max="18" width="10.625" customWidth="1"/>
    <col min="19" max="19" width="15.625" customWidth="1"/>
    <col min="20" max="23" width="10.625" customWidth="1"/>
  </cols>
  <sheetData>
    <row r="1" spans="1:16">
      <c r="A1" s="69" t="s">
        <v>20</v>
      </c>
      <c r="B1" s="69"/>
      <c r="C1" s="69"/>
      <c r="D1" s="69"/>
      <c r="E1" s="69"/>
      <c r="F1" s="69"/>
      <c r="G1" s="69"/>
      <c r="H1" s="69"/>
      <c r="I1" s="69"/>
      <c r="K1" s="21"/>
      <c r="L1" s="21"/>
      <c r="M1" s="21"/>
      <c r="N1" s="21"/>
      <c r="O1" s="21"/>
      <c r="P1" s="21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1.6023306879944799E-2</v>
      </c>
      <c r="F3" s="9">
        <v>1.7574121889043</v>
      </c>
      <c r="G3" s="9">
        <v>8.0616397090275904E-2</v>
      </c>
      <c r="H3" s="11">
        <f>(1 + E3)^(1 / B3) - 1</f>
        <v>5.3128261844221925E-3</v>
      </c>
      <c r="I3" s="11">
        <f>(1 + E3)^(12 / B3) - 1</f>
        <v>6.5650227321769616E-2</v>
      </c>
      <c r="K3" s="72" t="s">
        <v>20</v>
      </c>
      <c r="L3" s="73"/>
      <c r="M3" s="73"/>
      <c r="N3" s="73"/>
      <c r="O3" s="73"/>
      <c r="P3" s="74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4.3505107598651498E-2</v>
      </c>
      <c r="F4" s="9">
        <v>4.9672323972174404</v>
      </c>
      <c r="G4" s="9">
        <v>1.6205828733828801E-6</v>
      </c>
      <c r="H4" s="11">
        <f t="shared" ref="H4:H50" si="0">(1 + E4)^(1 / B4) - 1</f>
        <v>1.4296343118266552E-2</v>
      </c>
      <c r="I4" s="11">
        <f t="shared" ref="I4:I50" si="1">(1 + E4)^(12 / B4) - 1</f>
        <v>0.18570954650153126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2.7481800718706699E-2</v>
      </c>
      <c r="F5" s="9">
        <v>3.4309955652209099</v>
      </c>
      <c r="G5" s="9">
        <v>7.5211470168450002E-4</v>
      </c>
      <c r="H5" s="11">
        <f t="shared" si="0"/>
        <v>9.0779418433364345E-3</v>
      </c>
      <c r="I5" s="11">
        <f t="shared" si="1"/>
        <v>0.1145422919516943</v>
      </c>
      <c r="K5" s="75" t="s">
        <v>12</v>
      </c>
      <c r="L5" s="76" t="s">
        <v>7</v>
      </c>
      <c r="M5" s="18">
        <v>1.6E-2</v>
      </c>
      <c r="N5" s="18">
        <v>3.9100000000000003E-2</v>
      </c>
      <c r="O5" s="18">
        <v>4.99E-2</v>
      </c>
      <c r="P5" s="25">
        <v>7.9399999999999998E-2</v>
      </c>
    </row>
    <row r="6" spans="1:16">
      <c r="A6" s="7">
        <v>3</v>
      </c>
      <c r="B6" s="7">
        <v>6</v>
      </c>
      <c r="C6" s="7" t="s">
        <v>7</v>
      </c>
      <c r="D6" s="7">
        <v>15</v>
      </c>
      <c r="E6" s="12">
        <v>3.9121944841341703E-2</v>
      </c>
      <c r="F6" s="10">
        <v>0.74566366867123202</v>
      </c>
      <c r="G6" s="10">
        <v>0.46820625174743402</v>
      </c>
      <c r="H6" s="12">
        <f t="shared" si="0"/>
        <v>6.4165102875011204E-3</v>
      </c>
      <c r="I6" s="12">
        <f t="shared" si="1"/>
        <v>7.9774416250852687E-2</v>
      </c>
      <c r="K6" s="62"/>
      <c r="L6" s="65"/>
      <c r="M6" s="19">
        <v>1.7574000000000001</v>
      </c>
      <c r="N6" s="19">
        <v>0.74570000000000003</v>
      </c>
      <c r="O6" s="19">
        <v>3.4171</v>
      </c>
      <c r="P6" s="24">
        <v>4.1973000000000003</v>
      </c>
    </row>
    <row r="7" spans="1:16">
      <c r="A7" s="7">
        <v>3</v>
      </c>
      <c r="B7" s="7">
        <v>6</v>
      </c>
      <c r="C7" s="7" t="s">
        <v>8</v>
      </c>
      <c r="D7" s="7">
        <v>38</v>
      </c>
      <c r="E7" s="12">
        <v>9.8316172050815595E-2</v>
      </c>
      <c r="F7" s="10">
        <v>1.9910751711121</v>
      </c>
      <c r="G7" s="10">
        <v>5.3895511766333302E-2</v>
      </c>
      <c r="H7" s="12">
        <f t="shared" si="0"/>
        <v>1.5752491808820102E-2</v>
      </c>
      <c r="I7" s="12">
        <f t="shared" si="1"/>
        <v>0.206298413788357</v>
      </c>
      <c r="K7" s="62" t="s">
        <v>12</v>
      </c>
      <c r="L7" s="66" t="s">
        <v>8</v>
      </c>
      <c r="M7" s="18">
        <v>4.3499999999999997E-2</v>
      </c>
      <c r="N7" s="18">
        <v>9.8299999999999998E-2</v>
      </c>
      <c r="O7" s="18">
        <v>0.14530000000000001</v>
      </c>
      <c r="P7" s="25">
        <v>0.1618</v>
      </c>
    </row>
    <row r="8" spans="1:16">
      <c r="A8" s="2">
        <v>3</v>
      </c>
      <c r="B8" s="2">
        <v>6</v>
      </c>
      <c r="C8" s="7" t="s">
        <v>9</v>
      </c>
      <c r="D8" s="7">
        <v>15</v>
      </c>
      <c r="E8" s="12">
        <v>7.8087780413782407E-2</v>
      </c>
      <c r="F8" s="10">
        <v>1.7189673091887001</v>
      </c>
      <c r="G8" s="10">
        <v>0.107642688149739</v>
      </c>
      <c r="H8" s="12">
        <f t="shared" si="0"/>
        <v>1.2610331071272851E-2</v>
      </c>
      <c r="I8" s="12">
        <f t="shared" si="1"/>
        <v>0.16227326227751604</v>
      </c>
      <c r="K8" s="62"/>
      <c r="L8" s="65"/>
      <c r="M8" s="19">
        <v>4.9672000000000001</v>
      </c>
      <c r="N8" s="19">
        <v>1.9911000000000001</v>
      </c>
      <c r="O8" s="19">
        <v>6.5355999999999996</v>
      </c>
      <c r="P8" s="24">
        <v>6.8906999999999998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4.9921276451224003E-2</v>
      </c>
      <c r="F9" s="9">
        <v>3.4170611525091399</v>
      </c>
      <c r="G9" s="9">
        <v>7.9509568217720004E-4</v>
      </c>
      <c r="H9" s="11">
        <f t="shared" si="0"/>
        <v>5.427474166272539E-3</v>
      </c>
      <c r="I9" s="11">
        <f t="shared" si="1"/>
        <v>6.710949021784729E-2</v>
      </c>
      <c r="K9" s="62" t="s">
        <v>12</v>
      </c>
      <c r="L9" s="67" t="s">
        <v>9</v>
      </c>
      <c r="M9" s="18">
        <v>2.75E-2</v>
      </c>
      <c r="N9" s="18">
        <v>7.8100000000000003E-2</v>
      </c>
      <c r="O9" s="18">
        <v>9.5299999999999996E-2</v>
      </c>
      <c r="P9" s="25">
        <v>8.2299999999999998E-2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0.14526482548688799</v>
      </c>
      <c r="F10" s="9">
        <v>6.53557844823065</v>
      </c>
      <c r="G10" s="9">
        <v>7.3604462422730505E-10</v>
      </c>
      <c r="H10" s="11">
        <f t="shared" si="0"/>
        <v>1.5184790402828607E-2</v>
      </c>
      <c r="I10" s="11">
        <f t="shared" si="1"/>
        <v>0.19823287250425548</v>
      </c>
      <c r="K10" s="70"/>
      <c r="L10" s="71"/>
      <c r="M10" s="20">
        <v>3.431</v>
      </c>
      <c r="N10" s="20">
        <v>1.7190000000000001</v>
      </c>
      <c r="O10" s="20">
        <v>4.9603000000000002</v>
      </c>
      <c r="P10" s="30">
        <v>4.0888999999999998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9.5343549035664804E-2</v>
      </c>
      <c r="F11" s="9">
        <v>4.9602556408848297</v>
      </c>
      <c r="G11" s="9">
        <v>1.7205528688402099E-6</v>
      </c>
      <c r="H11" s="11">
        <f t="shared" si="0"/>
        <v>1.0170039933412145E-2</v>
      </c>
      <c r="I11" s="11">
        <f t="shared" si="1"/>
        <v>0.12910363731811114</v>
      </c>
      <c r="K11" s="61" t="s">
        <v>13</v>
      </c>
      <c r="L11" s="64" t="s">
        <v>7</v>
      </c>
      <c r="M11" s="18">
        <v>1.0699999999999999E-2</v>
      </c>
      <c r="N11" s="18">
        <v>2.9000000000000001E-2</v>
      </c>
      <c r="O11" s="18">
        <v>4.5499999999999999E-2</v>
      </c>
      <c r="P11" s="25">
        <v>8.1900000000000001E-2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7.9447485297510098E-2</v>
      </c>
      <c r="F12" s="10">
        <v>4.1972844119565602</v>
      </c>
      <c r="G12" s="10">
        <v>4.4170673870135601E-5</v>
      </c>
      <c r="H12" s="12">
        <f t="shared" si="0"/>
        <v>6.3911134412326653E-3</v>
      </c>
      <c r="I12" s="12">
        <f t="shared" si="1"/>
        <v>7.9447485297510001E-2</v>
      </c>
      <c r="K12" s="62"/>
      <c r="L12" s="65"/>
      <c r="M12" s="19">
        <v>1.2658</v>
      </c>
      <c r="N12" s="19">
        <v>2.4544000000000001</v>
      </c>
      <c r="O12" s="19">
        <v>3.0880000000000001</v>
      </c>
      <c r="P12" s="24">
        <v>4.3525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0.16177792576368999</v>
      </c>
      <c r="F13" s="10">
        <v>6.89068758006339</v>
      </c>
      <c r="G13" s="10">
        <v>1.13360982008635E-10</v>
      </c>
      <c r="H13" s="12">
        <f t="shared" si="0"/>
        <v>1.2574361269001022E-2</v>
      </c>
      <c r="I13" s="12">
        <f t="shared" si="1"/>
        <v>0.16177792576368999</v>
      </c>
      <c r="K13" s="62" t="s">
        <v>13</v>
      </c>
      <c r="L13" s="66" t="s">
        <v>8</v>
      </c>
      <c r="M13" s="18">
        <v>4.6300000000000001E-2</v>
      </c>
      <c r="N13" s="18">
        <v>9.01E-2</v>
      </c>
      <c r="O13" s="18">
        <v>0.1234</v>
      </c>
      <c r="P13" s="25">
        <v>0.1404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8.2330440466180294E-2</v>
      </c>
      <c r="F14" s="10">
        <v>4.0889347377385103</v>
      </c>
      <c r="G14" s="10">
        <v>6.7742096538862993E-5</v>
      </c>
      <c r="H14" s="12">
        <f t="shared" si="0"/>
        <v>6.6148262636673838E-3</v>
      </c>
      <c r="I14" s="12">
        <f t="shared" si="1"/>
        <v>8.233044046618021E-2</v>
      </c>
      <c r="K14" s="62"/>
      <c r="L14" s="65"/>
      <c r="M14" s="19">
        <v>4.9569000000000001</v>
      </c>
      <c r="N14" s="19">
        <v>6.1984000000000004</v>
      </c>
      <c r="O14" s="19">
        <v>5.8876999999999997</v>
      </c>
      <c r="P14" s="24">
        <v>5.8375000000000004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1.0738295036701101E-2</v>
      </c>
      <c r="F15" s="9">
        <v>1.26576462056544</v>
      </c>
      <c r="G15" s="9">
        <v>0.20732930044986</v>
      </c>
      <c r="H15" s="11">
        <f t="shared" si="0"/>
        <v>3.566695239616946E-3</v>
      </c>
      <c r="I15" s="11">
        <f t="shared" si="1"/>
        <v>4.3650012298507734E-2</v>
      </c>
      <c r="K15" s="62" t="s">
        <v>13</v>
      </c>
      <c r="L15" s="67" t="s">
        <v>9</v>
      </c>
      <c r="M15" s="18">
        <v>3.56E-2</v>
      </c>
      <c r="N15" s="18">
        <v>6.1100000000000002E-2</v>
      </c>
      <c r="O15" s="18">
        <v>7.7899999999999997E-2</v>
      </c>
      <c r="P15" s="25">
        <v>5.8599999999999999E-2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4.6308449625314801E-2</v>
      </c>
      <c r="F16" s="9">
        <v>4.9569218497544503</v>
      </c>
      <c r="G16" s="9">
        <v>1.7214968961303401E-6</v>
      </c>
      <c r="H16" s="11">
        <f t="shared" si="0"/>
        <v>1.520382218025107E-2</v>
      </c>
      <c r="I16" s="11">
        <f t="shared" si="1"/>
        <v>0.19850246109199077</v>
      </c>
      <c r="K16" s="70"/>
      <c r="L16" s="71"/>
      <c r="M16" s="20">
        <v>4.1432000000000002</v>
      </c>
      <c r="N16" s="20">
        <v>4.9089999999999998</v>
      </c>
      <c r="O16" s="20">
        <v>4.4587000000000003</v>
      </c>
      <c r="P16" s="30">
        <v>2.9992000000000001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3.5570154588613699E-2</v>
      </c>
      <c r="F17" s="9">
        <v>4.1432415948487797</v>
      </c>
      <c r="G17" s="9">
        <v>5.3883402765119398E-5</v>
      </c>
      <c r="H17" s="11">
        <f t="shared" si="0"/>
        <v>1.1718850288543692E-2</v>
      </c>
      <c r="I17" s="11">
        <f t="shared" si="1"/>
        <v>0.15005365310693319</v>
      </c>
      <c r="K17" s="61" t="s">
        <v>14</v>
      </c>
      <c r="L17" s="64" t="s">
        <v>7</v>
      </c>
      <c r="M17" s="18">
        <v>5.7000000000000002E-3</v>
      </c>
      <c r="N17" s="18">
        <v>1.9099999999999999E-2</v>
      </c>
      <c r="O17" s="18">
        <v>4.1500000000000002E-2</v>
      </c>
      <c r="P17" s="25">
        <v>8.7900000000000006E-2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2.9023669308038898E-2</v>
      </c>
      <c r="F18" s="10">
        <v>2.4544389244474401</v>
      </c>
      <c r="G18" s="10">
        <v>1.5136445022190701E-2</v>
      </c>
      <c r="H18" s="12">
        <f t="shared" si="0"/>
        <v>4.7797967631271199E-3</v>
      </c>
      <c r="I18" s="12">
        <f t="shared" si="1"/>
        <v>5.8889711996179983E-2</v>
      </c>
      <c r="K18" s="62"/>
      <c r="L18" s="65"/>
      <c r="M18" s="19">
        <v>0.62109999999999999</v>
      </c>
      <c r="N18" s="19">
        <v>1.5206999999999999</v>
      </c>
      <c r="O18" s="19">
        <v>2.7010999999999998</v>
      </c>
      <c r="P18" s="24">
        <v>3.9626000000000001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9.0124511755686296E-2</v>
      </c>
      <c r="F19" s="10">
        <v>6.1983701949875396</v>
      </c>
      <c r="G19" s="10">
        <v>4.3115443720080604E-9</v>
      </c>
      <c r="H19" s="12">
        <f t="shared" si="0"/>
        <v>1.4485905139342892E-2</v>
      </c>
      <c r="I19" s="12">
        <f t="shared" si="1"/>
        <v>0.18837145113057363</v>
      </c>
      <c r="K19" s="62" t="s">
        <v>14</v>
      </c>
      <c r="L19" s="66" t="s">
        <v>8</v>
      </c>
      <c r="M19" s="18">
        <v>4.7500000000000001E-2</v>
      </c>
      <c r="N19" s="18">
        <v>8.2799999999999999E-2</v>
      </c>
      <c r="O19" s="18">
        <v>0.1051</v>
      </c>
      <c r="P19" s="25">
        <v>0.12520000000000001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6.1100842447647401E-2</v>
      </c>
      <c r="F20" s="10">
        <v>4.9089680784505401</v>
      </c>
      <c r="G20" s="10">
        <v>2.1638358655465001E-6</v>
      </c>
      <c r="H20" s="12">
        <f t="shared" si="0"/>
        <v>9.9334961667942867E-3</v>
      </c>
      <c r="I20" s="12">
        <f t="shared" si="1"/>
        <v>0.12593499784310702</v>
      </c>
      <c r="K20" s="62"/>
      <c r="L20" s="65"/>
      <c r="M20" s="19">
        <v>4.7946</v>
      </c>
      <c r="N20" s="19">
        <v>5.5275999999999996</v>
      </c>
      <c r="O20" s="19">
        <v>5.0880000000000001</v>
      </c>
      <c r="P20" s="24">
        <v>5.1573000000000002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4.5461357523971999E-2</v>
      </c>
      <c r="F21" s="9">
        <v>3.0879593499291</v>
      </c>
      <c r="G21" s="9">
        <v>2.3672073959602E-3</v>
      </c>
      <c r="H21" s="11">
        <f t="shared" si="0"/>
        <v>4.9520296856613299E-3</v>
      </c>
      <c r="I21" s="11">
        <f t="shared" si="1"/>
        <v>6.1069863800100155E-2</v>
      </c>
      <c r="K21" s="62" t="s">
        <v>14</v>
      </c>
      <c r="L21" s="67" t="s">
        <v>9</v>
      </c>
      <c r="M21" s="18">
        <v>4.1799999999999997E-2</v>
      </c>
      <c r="N21" s="18">
        <v>6.3700000000000007E-2</v>
      </c>
      <c r="O21" s="18">
        <v>6.3600000000000004E-2</v>
      </c>
      <c r="P21" s="25">
        <v>3.7199999999999997E-2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0.123403813592302</v>
      </c>
      <c r="F22" s="9">
        <v>5.88767728765478</v>
      </c>
      <c r="G22" s="9">
        <v>2.1510669677862899E-8</v>
      </c>
      <c r="H22" s="11">
        <f t="shared" si="0"/>
        <v>1.3013188040126744E-2</v>
      </c>
      <c r="I22" s="11">
        <f t="shared" si="1"/>
        <v>0.1678342063716054</v>
      </c>
      <c r="K22" s="70"/>
      <c r="L22" s="71"/>
      <c r="M22" s="20">
        <v>4.4785000000000004</v>
      </c>
      <c r="N22" s="20">
        <v>4.8543000000000003</v>
      </c>
      <c r="O22" s="20">
        <v>3.7856000000000001</v>
      </c>
      <c r="P22" s="30">
        <v>1.7704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7.7942456068330002E-2</v>
      </c>
      <c r="F23" s="9">
        <v>4.4586771319247704</v>
      </c>
      <c r="G23" s="9">
        <v>1.52371819737765E-5</v>
      </c>
      <c r="H23" s="11">
        <f t="shared" si="0"/>
        <v>8.3742126069297207E-3</v>
      </c>
      <c r="I23" s="11">
        <f t="shared" si="1"/>
        <v>0.10525062704283994</v>
      </c>
      <c r="K23" s="61" t="s">
        <v>15</v>
      </c>
      <c r="L23" s="64" t="s">
        <v>7</v>
      </c>
      <c r="M23" s="18">
        <v>3.2000000000000002E-3</v>
      </c>
      <c r="N23" s="18">
        <v>2.3800000000000002E-2</v>
      </c>
      <c r="O23" s="18">
        <v>5.5899999999999998E-2</v>
      </c>
      <c r="P23" s="25">
        <v>0.11169999999999999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8.1879328470080698E-2</v>
      </c>
      <c r="F24" s="10">
        <v>4.3525212868608802</v>
      </c>
      <c r="G24" s="10">
        <v>2.38363388899217E-5</v>
      </c>
      <c r="H24" s="12">
        <f t="shared" si="0"/>
        <v>6.5798567527752816E-3</v>
      </c>
      <c r="I24" s="12">
        <f t="shared" si="1"/>
        <v>8.1879328470080726E-2</v>
      </c>
      <c r="K24" s="62"/>
      <c r="L24" s="65"/>
      <c r="M24" s="19">
        <v>0.34610000000000002</v>
      </c>
      <c r="N24" s="19">
        <v>1.9786999999999999</v>
      </c>
      <c r="O24" s="19">
        <v>3.5985999999999998</v>
      </c>
      <c r="P24" s="24">
        <v>5.0467000000000004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0.14043377213786801</v>
      </c>
      <c r="F25" s="10">
        <v>5.8375042065338496</v>
      </c>
      <c r="G25" s="10">
        <v>2.8374331802617199E-8</v>
      </c>
      <c r="H25" s="12">
        <f t="shared" si="0"/>
        <v>1.1010902973388248E-2</v>
      </c>
      <c r="I25" s="12">
        <f t="shared" si="1"/>
        <v>0.14043377213786812</v>
      </c>
      <c r="K25" s="62" t="s">
        <v>15</v>
      </c>
      <c r="L25" s="66" t="s">
        <v>8</v>
      </c>
      <c r="M25" s="18">
        <v>3.4200000000000001E-2</v>
      </c>
      <c r="N25" s="18">
        <v>6.9400000000000003E-2</v>
      </c>
      <c r="O25" s="18">
        <v>9.8799999999999999E-2</v>
      </c>
      <c r="P25" s="25">
        <v>0.1275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5.8554443667787698E-2</v>
      </c>
      <c r="F26" s="10">
        <v>2.9992041109934902</v>
      </c>
      <c r="G26" s="10">
        <v>3.1372011889523E-3</v>
      </c>
      <c r="H26" s="12">
        <f t="shared" si="0"/>
        <v>4.7532815891686564E-3</v>
      </c>
      <c r="I26" s="12">
        <f t="shared" si="1"/>
        <v>5.8554443667787615E-2</v>
      </c>
      <c r="K26" s="62"/>
      <c r="L26" s="65"/>
      <c r="M26" s="19">
        <v>3.4449999999999998</v>
      </c>
      <c r="N26" s="19">
        <v>4.1665000000000001</v>
      </c>
      <c r="O26" s="19">
        <v>4.5236000000000001</v>
      </c>
      <c r="P26" s="24">
        <v>5.1078000000000001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5.7226963613716004E-3</v>
      </c>
      <c r="F27" s="9">
        <v>0.62111371700929796</v>
      </c>
      <c r="G27" s="9">
        <v>0.53537164745982802</v>
      </c>
      <c r="H27" s="11">
        <f t="shared" si="0"/>
        <v>1.9039381726457805E-3</v>
      </c>
      <c r="I27" s="11">
        <f t="shared" si="1"/>
        <v>2.3088031696005817E-2</v>
      </c>
      <c r="K27" s="62" t="s">
        <v>15</v>
      </c>
      <c r="L27" s="67" t="s">
        <v>9</v>
      </c>
      <c r="M27" s="18">
        <v>3.1099999999999999E-2</v>
      </c>
      <c r="N27" s="18">
        <v>4.5600000000000002E-2</v>
      </c>
      <c r="O27" s="18">
        <v>4.2999999999999997E-2</v>
      </c>
      <c r="P27" s="25">
        <v>1.5800000000000002E-2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4.7476562162734597E-2</v>
      </c>
      <c r="F28" s="9">
        <v>4.7946363923294602</v>
      </c>
      <c r="G28" s="9">
        <v>3.5860574744823302E-6</v>
      </c>
      <c r="H28" s="11">
        <f t="shared" si="0"/>
        <v>1.5581477315895986E-2</v>
      </c>
      <c r="I28" s="11">
        <f t="shared" si="1"/>
        <v>0.20386352623730319</v>
      </c>
      <c r="K28" s="63"/>
      <c r="L28" s="68"/>
      <c r="M28" s="26">
        <v>3.2193000000000001</v>
      </c>
      <c r="N28" s="26">
        <v>3.0390000000000001</v>
      </c>
      <c r="O28" s="26">
        <v>2.2528999999999999</v>
      </c>
      <c r="P28" s="27">
        <v>0.66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4.1753865801362998E-2</v>
      </c>
      <c r="F29" s="9">
        <v>4.4784898993941802</v>
      </c>
      <c r="G29" s="9">
        <v>1.3884989606010899E-5</v>
      </c>
      <c r="H29" s="11">
        <f t="shared" si="0"/>
        <v>1.3728617819708244E-2</v>
      </c>
      <c r="I29" s="11">
        <f t="shared" si="1"/>
        <v>0.17776998675892619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1.9064404536770298E-2</v>
      </c>
      <c r="F30" s="10">
        <v>1.52066577050684</v>
      </c>
      <c r="G30" s="10">
        <v>0.130269392533335</v>
      </c>
      <c r="H30" s="12">
        <f t="shared" si="0"/>
        <v>3.1524512077070188E-3</v>
      </c>
      <c r="I30" s="12">
        <f t="shared" si="1"/>
        <v>3.8492260593882222E-2</v>
      </c>
      <c r="K30" s="72" t="s">
        <v>24</v>
      </c>
      <c r="L30" s="73"/>
      <c r="M30" s="73"/>
      <c r="N30" s="73"/>
      <c r="O30" s="73"/>
      <c r="P30" s="74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8.2813838738743206E-2</v>
      </c>
      <c r="F31" s="10">
        <v>5.5275748634108401</v>
      </c>
      <c r="G31" s="10">
        <v>1.2550504765941901E-7</v>
      </c>
      <c r="H31" s="12">
        <f t="shared" si="0"/>
        <v>1.3348820341297696E-2</v>
      </c>
      <c r="I31" s="12">
        <f t="shared" si="1"/>
        <v>0.17248580936413282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6.3749434201972793E-2</v>
      </c>
      <c r="F32" s="10">
        <v>4.8542667598914599</v>
      </c>
      <c r="G32" s="10">
        <v>2.7966467463798202E-6</v>
      </c>
      <c r="H32" s="12">
        <f t="shared" si="0"/>
        <v>1.0353205534288756E-2</v>
      </c>
      <c r="I32" s="12">
        <f t="shared" si="1"/>
        <v>0.1315628587650175</v>
      </c>
      <c r="K32" s="75" t="s">
        <v>12</v>
      </c>
      <c r="L32" s="76" t="s">
        <v>7</v>
      </c>
      <c r="M32" s="32">
        <v>5.3128261844221925E-3</v>
      </c>
      <c r="N32" s="32">
        <v>6.4165102875011204E-3</v>
      </c>
      <c r="O32" s="32">
        <v>5.427474166272539E-3</v>
      </c>
      <c r="P32" s="33">
        <v>6.3911134412326653E-3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4.1532029816456699E-2</v>
      </c>
      <c r="F33" s="9">
        <v>2.7010569714517301</v>
      </c>
      <c r="G33" s="9">
        <v>7.6518669018028002E-3</v>
      </c>
      <c r="H33" s="11">
        <f t="shared" si="0"/>
        <v>4.531651996193542E-3</v>
      </c>
      <c r="I33" s="11">
        <f t="shared" si="1"/>
        <v>5.575587514746938E-2</v>
      </c>
      <c r="K33" s="62"/>
      <c r="L33" s="65"/>
      <c r="M33" s="19">
        <f>M6</f>
        <v>1.7574000000000001</v>
      </c>
      <c r="N33" s="19">
        <f>N6</f>
        <v>0.74570000000000003</v>
      </c>
      <c r="O33" s="19">
        <f>O6</f>
        <v>3.4171</v>
      </c>
      <c r="P33" s="24">
        <f>P6</f>
        <v>4.1973000000000003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0.105106704505111</v>
      </c>
      <c r="F34" s="9">
        <v>5.0879539369324496</v>
      </c>
      <c r="G34" s="9">
        <v>9.9809649830817391E-7</v>
      </c>
      <c r="H34" s="11">
        <f t="shared" si="0"/>
        <v>1.1166540594599317E-2</v>
      </c>
      <c r="I34" s="11">
        <f t="shared" si="1"/>
        <v>0.14254229252388018</v>
      </c>
      <c r="K34" s="62" t="s">
        <v>12</v>
      </c>
      <c r="L34" s="66" t="s">
        <v>8</v>
      </c>
      <c r="M34" s="32">
        <v>1.4296343118266552E-2</v>
      </c>
      <c r="N34" s="32">
        <v>1.5752491808820102E-2</v>
      </c>
      <c r="O34" s="32">
        <v>1.5184790402828607E-2</v>
      </c>
      <c r="P34" s="33">
        <v>1.2574361269001022E-2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6.3574674688654201E-2</v>
      </c>
      <c r="F35" s="9">
        <v>3.78555063063917</v>
      </c>
      <c r="G35" s="9">
        <v>2.1607644336560001E-4</v>
      </c>
      <c r="H35" s="11">
        <f t="shared" si="0"/>
        <v>6.8719004659985039E-3</v>
      </c>
      <c r="I35" s="11">
        <f t="shared" si="1"/>
        <v>8.5652033350794632E-2</v>
      </c>
      <c r="K35" s="62"/>
      <c r="L35" s="65"/>
      <c r="M35" s="19">
        <f>M8</f>
        <v>4.9672000000000001</v>
      </c>
      <c r="N35" s="19">
        <f>N8</f>
        <v>1.9911000000000001</v>
      </c>
      <c r="O35" s="19">
        <f>O8</f>
        <v>6.5355999999999996</v>
      </c>
      <c r="P35" s="24">
        <f>P8</f>
        <v>6.8906999999999998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8.7932479202326996E-2</v>
      </c>
      <c r="F36" s="10">
        <v>3.9626312204901</v>
      </c>
      <c r="G36" s="10">
        <v>1.1196715163779999E-4</v>
      </c>
      <c r="H36" s="12">
        <f t="shared" si="0"/>
        <v>7.0479781569972033E-3</v>
      </c>
      <c r="I36" s="12">
        <f t="shared" si="1"/>
        <v>8.7932479202327052E-2</v>
      </c>
      <c r="K36" s="62" t="s">
        <v>12</v>
      </c>
      <c r="L36" s="67" t="s">
        <v>9</v>
      </c>
      <c r="M36" s="32">
        <v>9.0779418433364345E-3</v>
      </c>
      <c r="N36" s="32">
        <v>1.2610331071272851E-2</v>
      </c>
      <c r="O36" s="32">
        <v>1.0170039933412145E-2</v>
      </c>
      <c r="P36" s="33">
        <v>6.6148262636673838E-3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0.12515432809530999</v>
      </c>
      <c r="F37" s="10">
        <v>5.1573423463941896</v>
      </c>
      <c r="G37" s="10">
        <v>7.4079001895500695E-7</v>
      </c>
      <c r="H37" s="12">
        <f t="shared" si="0"/>
        <v>9.8751242957872964E-3</v>
      </c>
      <c r="I37" s="12">
        <f t="shared" si="1"/>
        <v>0.12515432809531002</v>
      </c>
      <c r="K37" s="70"/>
      <c r="L37" s="71"/>
      <c r="M37" s="20">
        <f>M10</f>
        <v>3.431</v>
      </c>
      <c r="N37" s="20">
        <f>N10</f>
        <v>1.7190000000000001</v>
      </c>
      <c r="O37" s="20">
        <f>O10</f>
        <v>4.9603000000000002</v>
      </c>
      <c r="P37" s="30">
        <f>P10</f>
        <v>4.0888999999999998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3.7221848892983703E-2</v>
      </c>
      <c r="F38" s="10">
        <v>1.7704253943588899</v>
      </c>
      <c r="G38" s="10">
        <v>7.8584760457131003E-2</v>
      </c>
      <c r="H38" s="12">
        <f t="shared" si="0"/>
        <v>3.0501288496465051E-3</v>
      </c>
      <c r="I38" s="12">
        <f t="shared" si="1"/>
        <v>3.7221848892983633E-2</v>
      </c>
      <c r="K38" s="61" t="s">
        <v>13</v>
      </c>
      <c r="L38" s="64" t="s">
        <v>7</v>
      </c>
      <c r="M38" s="32">
        <v>3.566695239616946E-3</v>
      </c>
      <c r="N38" s="32">
        <v>4.7797967631271199E-3</v>
      </c>
      <c r="O38" s="32">
        <v>4.9520296856613299E-3</v>
      </c>
      <c r="P38" s="33">
        <v>6.5798567527752816E-3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3.1544944207615999E-3</v>
      </c>
      <c r="F39" s="9">
        <v>0.346098284987709</v>
      </c>
      <c r="G39" s="9">
        <v>0.72971245346143698</v>
      </c>
      <c r="H39" s="11">
        <f t="shared" si="0"/>
        <v>1.0503944254947051E-3</v>
      </c>
      <c r="I39" s="11">
        <f t="shared" si="1"/>
        <v>1.2677808351783559E-2</v>
      </c>
      <c r="K39" s="62"/>
      <c r="L39" s="65"/>
      <c r="M39" s="19">
        <f>M12</f>
        <v>1.2658</v>
      </c>
      <c r="N39" s="19">
        <f>N12</f>
        <v>2.4544000000000001</v>
      </c>
      <c r="O39" s="19">
        <f>O12</f>
        <v>3.0880000000000001</v>
      </c>
      <c r="P39" s="24">
        <f>P12</f>
        <v>4.3525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3.4216301139181803E-2</v>
      </c>
      <c r="F40" s="9">
        <v>3.4450217272014401</v>
      </c>
      <c r="G40" s="9">
        <v>7.2512346643099999E-4</v>
      </c>
      <c r="H40" s="11">
        <f t="shared" si="0"/>
        <v>1.1277767539989103E-2</v>
      </c>
      <c r="I40" s="11">
        <f t="shared" si="1"/>
        <v>0.1440513424651424</v>
      </c>
      <c r="K40" s="62" t="s">
        <v>13</v>
      </c>
      <c r="L40" s="66" t="s">
        <v>8</v>
      </c>
      <c r="M40" s="32">
        <v>1.520382218025107E-2</v>
      </c>
      <c r="N40" s="32">
        <v>1.4485905139342892E-2</v>
      </c>
      <c r="O40" s="32">
        <v>1.3013188040126744E-2</v>
      </c>
      <c r="P40" s="33">
        <v>1.1010902973388248E-2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3.1061806718420199E-2</v>
      </c>
      <c r="F41" s="9">
        <v>3.2193071910272999</v>
      </c>
      <c r="G41" s="9">
        <v>1.5491643974183001E-3</v>
      </c>
      <c r="H41" s="11">
        <f t="shared" si="0"/>
        <v>1.0248544105912361E-2</v>
      </c>
      <c r="I41" s="11">
        <f t="shared" si="1"/>
        <v>0.13015705097863539</v>
      </c>
      <c r="K41" s="62"/>
      <c r="L41" s="65"/>
      <c r="M41" s="19">
        <f>M14</f>
        <v>4.9569000000000001</v>
      </c>
      <c r="N41" s="19">
        <f>N14</f>
        <v>6.1984000000000004</v>
      </c>
      <c r="O41" s="19">
        <f>O14</f>
        <v>5.8876999999999997</v>
      </c>
      <c r="P41" s="24">
        <f>P14</f>
        <v>5.8375000000000004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2.37764089014415E-2</v>
      </c>
      <c r="F42" s="10">
        <v>1.9787205529382299</v>
      </c>
      <c r="G42" s="10">
        <v>4.9553194288381397E-2</v>
      </c>
      <c r="H42" s="12">
        <f t="shared" si="0"/>
        <v>3.9240376360953899E-3</v>
      </c>
      <c r="I42" s="12">
        <f t="shared" si="1"/>
        <v>4.8118135423131259E-2</v>
      </c>
      <c r="K42" s="62" t="s">
        <v>13</v>
      </c>
      <c r="L42" s="67" t="s">
        <v>9</v>
      </c>
      <c r="M42" s="32">
        <v>1.1718850288543692E-2</v>
      </c>
      <c r="N42" s="32">
        <v>9.9334961667942867E-3</v>
      </c>
      <c r="O42" s="32">
        <v>8.3742126069297207E-3</v>
      </c>
      <c r="P42" s="33">
        <v>4.7532815891686564E-3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6.9417129768921698E-2</v>
      </c>
      <c r="F43" s="10">
        <v>4.1664639157073999</v>
      </c>
      <c r="G43" s="10">
        <v>5.03434206651582E-5</v>
      </c>
      <c r="H43" s="12">
        <f t="shared" si="0"/>
        <v>1.1248419952228472E-2</v>
      </c>
      <c r="I43" s="12">
        <f t="shared" si="1"/>
        <v>0.14365299744319859</v>
      </c>
      <c r="K43" s="70"/>
      <c r="L43" s="71"/>
      <c r="M43" s="20">
        <f>M16</f>
        <v>4.1432000000000002</v>
      </c>
      <c r="N43" s="20">
        <f>N16</f>
        <v>4.9089999999999998</v>
      </c>
      <c r="O43" s="20">
        <f>O16</f>
        <v>4.4587000000000003</v>
      </c>
      <c r="P43" s="30">
        <f>P16</f>
        <v>2.9992000000000001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4.5640720867480201E-2</v>
      </c>
      <c r="F44" s="10">
        <v>3.0390235545502402</v>
      </c>
      <c r="G44" s="10">
        <v>2.7705034615846998E-3</v>
      </c>
      <c r="H44" s="12">
        <f t="shared" si="0"/>
        <v>7.4660374979016453E-3</v>
      </c>
      <c r="I44" s="12">
        <f t="shared" si="1"/>
        <v>9.3364517136263814E-2</v>
      </c>
      <c r="K44" s="61" t="s">
        <v>14</v>
      </c>
      <c r="L44" s="64" t="s">
        <v>7</v>
      </c>
      <c r="M44" s="32">
        <v>1.9039381726457805E-3</v>
      </c>
      <c r="N44" s="32">
        <v>3.1524512077070188E-3</v>
      </c>
      <c r="O44" s="32">
        <v>4.531651996193542E-3</v>
      </c>
      <c r="P44" s="33">
        <v>7.0479781569972033E-3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5.5860256709758402E-2</v>
      </c>
      <c r="F45" s="9">
        <v>3.5985520048489699</v>
      </c>
      <c r="G45" s="9">
        <v>4.2768990393220001E-4</v>
      </c>
      <c r="H45" s="11">
        <f t="shared" si="0"/>
        <v>6.0578129901176503E-3</v>
      </c>
      <c r="I45" s="11">
        <f t="shared" si="1"/>
        <v>7.5165344391071587E-2</v>
      </c>
      <c r="K45" s="62"/>
      <c r="L45" s="65"/>
      <c r="M45" s="19">
        <f>M18</f>
        <v>0.62109999999999999</v>
      </c>
      <c r="N45" s="19">
        <f>N18</f>
        <v>1.5206999999999999</v>
      </c>
      <c r="O45" s="19">
        <f>O18</f>
        <v>2.7010999999999998</v>
      </c>
      <c r="P45" s="24">
        <f>P18</f>
        <v>3.9626000000000001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9.8840345005644106E-2</v>
      </c>
      <c r="F46" s="9">
        <v>4.5235667867937197</v>
      </c>
      <c r="G46" s="9">
        <v>1.18844311783479E-5</v>
      </c>
      <c r="H46" s="11">
        <f t="shared" si="0"/>
        <v>1.0527853260665854E-2</v>
      </c>
      <c r="I46" s="11">
        <f t="shared" si="1"/>
        <v>0.13391228912558018</v>
      </c>
      <c r="K46" s="62" t="s">
        <v>14</v>
      </c>
      <c r="L46" s="66" t="s">
        <v>8</v>
      </c>
      <c r="M46" s="32">
        <v>1.5581477315895986E-2</v>
      </c>
      <c r="N46" s="32">
        <v>1.3348820341297696E-2</v>
      </c>
      <c r="O46" s="32">
        <v>1.1166540594599317E-2</v>
      </c>
      <c r="P46" s="33">
        <v>9.8751242957872964E-3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4.2980088295885698E-2</v>
      </c>
      <c r="F47" s="9">
        <v>2.2529072878399798</v>
      </c>
      <c r="G47" s="9">
        <v>2.5641547928063699E-2</v>
      </c>
      <c r="H47" s="11">
        <f t="shared" si="0"/>
        <v>4.6867357771038787E-3</v>
      </c>
      <c r="I47" s="11">
        <f t="shared" si="1"/>
        <v>5.7713440663983206E-2</v>
      </c>
      <c r="K47" s="62"/>
      <c r="L47" s="65"/>
      <c r="M47" s="19">
        <f>M20</f>
        <v>4.7946</v>
      </c>
      <c r="N47" s="19">
        <f>N20</f>
        <v>5.5275999999999996</v>
      </c>
      <c r="O47" s="19">
        <f>O20</f>
        <v>5.0880000000000001</v>
      </c>
      <c r="P47" s="24">
        <f>P20</f>
        <v>5.1573000000000002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0.11168308391100799</v>
      </c>
      <c r="F48" s="10">
        <v>5.0466906839338996</v>
      </c>
      <c r="G48" s="10">
        <v>1.2453457932528399E-6</v>
      </c>
      <c r="H48" s="12">
        <f t="shared" si="0"/>
        <v>8.8619666615730175E-3</v>
      </c>
      <c r="I48" s="12">
        <f t="shared" si="1"/>
        <v>0.1116830839110079</v>
      </c>
      <c r="K48" s="62" t="s">
        <v>14</v>
      </c>
      <c r="L48" s="67" t="s">
        <v>9</v>
      </c>
      <c r="M48" s="32">
        <v>1.3728617819708244E-2</v>
      </c>
      <c r="N48" s="32">
        <v>1.0353205534288756E-2</v>
      </c>
      <c r="O48" s="32">
        <v>6.8719004659985039E-3</v>
      </c>
      <c r="P48" s="33">
        <v>3.0501288496465051E-3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0.127505662153338</v>
      </c>
      <c r="F49" s="10">
        <v>5.1078009477432502</v>
      </c>
      <c r="G49" s="10">
        <v>9.4539764901292798E-7</v>
      </c>
      <c r="H49" s="12">
        <f t="shared" si="0"/>
        <v>1.0050824816221215E-2</v>
      </c>
      <c r="I49" s="12">
        <f t="shared" si="1"/>
        <v>0.12750566215333792</v>
      </c>
      <c r="K49" s="70"/>
      <c r="L49" s="71"/>
      <c r="M49" s="20">
        <f>M22</f>
        <v>4.4785000000000004</v>
      </c>
      <c r="N49" s="20">
        <f>N22</f>
        <v>4.8543000000000003</v>
      </c>
      <c r="O49" s="20">
        <f>O22</f>
        <v>3.7856000000000001</v>
      </c>
      <c r="P49" s="30">
        <f>P22</f>
        <v>1.7704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1.5822578242329799E-2</v>
      </c>
      <c r="F50" s="10">
        <v>0.65997902248077001</v>
      </c>
      <c r="G50" s="10">
        <v>0.51024680189673999</v>
      </c>
      <c r="H50" s="12">
        <f t="shared" si="0"/>
        <v>1.3090816163550123E-3</v>
      </c>
      <c r="I50" s="12">
        <f t="shared" si="1"/>
        <v>1.5822578242329799E-2</v>
      </c>
      <c r="K50" s="61" t="s">
        <v>15</v>
      </c>
      <c r="L50" s="64" t="s">
        <v>7</v>
      </c>
      <c r="M50" s="32">
        <v>1.0503944254947051E-3</v>
      </c>
      <c r="N50" s="32">
        <v>3.9240376360953899E-3</v>
      </c>
      <c r="O50" s="32">
        <v>6.0578129901176503E-3</v>
      </c>
      <c r="P50" s="33">
        <v>8.8619666615730175E-3</v>
      </c>
    </row>
    <row r="51" spans="1:16">
      <c r="K51" s="62"/>
      <c r="L51" s="65"/>
      <c r="M51" s="19">
        <f>M24</f>
        <v>0.34610000000000002</v>
      </c>
      <c r="N51" s="19">
        <f>N24</f>
        <v>1.9786999999999999</v>
      </c>
      <c r="O51" s="19">
        <f>O24</f>
        <v>3.5985999999999998</v>
      </c>
      <c r="P51" s="24">
        <f>P24</f>
        <v>5.0467000000000004</v>
      </c>
    </row>
    <row r="52" spans="1:16">
      <c r="K52" s="62" t="s">
        <v>15</v>
      </c>
      <c r="L52" s="66" t="s">
        <v>8</v>
      </c>
      <c r="M52" s="32">
        <v>1.1277767539989103E-2</v>
      </c>
      <c r="N52" s="32">
        <v>1.1248419952228472E-2</v>
      </c>
      <c r="O52" s="32">
        <v>1.0527853260665854E-2</v>
      </c>
      <c r="P52" s="33">
        <v>1.0050824816221215E-2</v>
      </c>
    </row>
    <row r="53" spans="1:16">
      <c r="K53" s="62"/>
      <c r="L53" s="65"/>
      <c r="M53" s="19">
        <f>M26</f>
        <v>3.4449999999999998</v>
      </c>
      <c r="N53" s="19">
        <f>N26</f>
        <v>4.1665000000000001</v>
      </c>
      <c r="O53" s="19">
        <f>O26</f>
        <v>4.5236000000000001</v>
      </c>
      <c r="P53" s="24">
        <f>P26</f>
        <v>5.1078000000000001</v>
      </c>
    </row>
    <row r="54" spans="1:16">
      <c r="K54" s="62" t="s">
        <v>15</v>
      </c>
      <c r="L54" s="67" t="s">
        <v>9</v>
      </c>
      <c r="M54" s="32">
        <v>1.0248544105912361E-2</v>
      </c>
      <c r="N54" s="32">
        <v>7.4660374979016453E-3</v>
      </c>
      <c r="O54" s="32">
        <v>4.6867357771038787E-3</v>
      </c>
      <c r="P54" s="33">
        <v>1.3090816163550123E-3</v>
      </c>
    </row>
    <row r="55" spans="1:16">
      <c r="K55" s="63"/>
      <c r="L55" s="68"/>
      <c r="M55" s="26">
        <f>M28</f>
        <v>3.2193000000000001</v>
      </c>
      <c r="N55" s="26">
        <f>N28</f>
        <v>3.0390000000000001</v>
      </c>
      <c r="O55" s="26">
        <f>O28</f>
        <v>2.2528999999999999</v>
      </c>
      <c r="P55" s="27">
        <f>P28</f>
        <v>0.66</v>
      </c>
    </row>
  </sheetData>
  <autoFilter ref="A2:W50"/>
  <mergeCells count="35">
    <mergeCell ref="L17:L18"/>
    <mergeCell ref="L19:L20"/>
    <mergeCell ref="L21:L22"/>
    <mergeCell ref="L32:L33"/>
    <mergeCell ref="L34:L35"/>
    <mergeCell ref="L36:L37"/>
    <mergeCell ref="K5:K10"/>
    <mergeCell ref="L5:L6"/>
    <mergeCell ref="L7:L8"/>
    <mergeCell ref="L9:L10"/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K50:K55"/>
    <mergeCell ref="L50:L51"/>
    <mergeCell ref="L52:L53"/>
    <mergeCell ref="L54:L55"/>
    <mergeCell ref="A1:I1"/>
    <mergeCell ref="K38:K43"/>
    <mergeCell ref="L38:L39"/>
    <mergeCell ref="L40:L41"/>
    <mergeCell ref="L42:L43"/>
    <mergeCell ref="K44:K49"/>
    <mergeCell ref="L44:L45"/>
    <mergeCell ref="L46:L47"/>
    <mergeCell ref="L48:L49"/>
    <mergeCell ref="K3:P3"/>
    <mergeCell ref="K30:P30"/>
    <mergeCell ref="K32:K37"/>
  </mergeCells>
  <phoneticPr fontId="19" type="noConversion"/>
  <conditionalFormatting sqref="E2:E50">
    <cfRule type="cellIs" dxfId="77" priority="27" operator="lessThan">
      <formula>0</formula>
    </cfRule>
    <cfRule type="cellIs" dxfId="76" priority="28" operator="greaterThan">
      <formula>0</formula>
    </cfRule>
  </conditionalFormatting>
  <conditionalFormatting sqref="G2:G50">
    <cfRule type="cellIs" dxfId="75" priority="26" operator="lessThan">
      <formula>0.05</formula>
    </cfRule>
  </conditionalFormatting>
  <conditionalFormatting sqref="H2:I50">
    <cfRule type="cellIs" dxfId="74" priority="11" operator="lessThan">
      <formula>0</formula>
    </cfRule>
    <cfRule type="cellIs" dxfId="73" priority="12" operator="greaterThan">
      <formula>0</formula>
    </cfRule>
  </conditionalFormatting>
  <conditionalFormatting sqref="M5:P5 M7:P7 M9:P9 M11:P11 M13:P13 M15:P15 M17:P17 M19:P19 M21:P21 M23:P23 M25:P25 M27:P27">
    <cfRule type="expression" dxfId="72" priority="16">
      <formula>OR(M6&gt;1.96,M6&lt;-1.96)</formula>
    </cfRule>
  </conditionalFormatting>
  <conditionalFormatting sqref="M6:P6 M8:P8 M10:P10">
    <cfRule type="cellIs" dxfId="71" priority="15" operator="between">
      <formula>-1.96</formula>
      <formula>1.96</formula>
    </cfRule>
    <cfRule type="cellIs" dxfId="70" priority="17" operator="notBetween">
      <formula>1.96</formula>
      <formula>-1.96</formula>
    </cfRule>
  </conditionalFormatting>
  <conditionalFormatting sqref="M12:P12 M14:P14 M16:P16 M18:P18 M20:P20 M22:P22 M24:P24 M26:P26 M28:P28">
    <cfRule type="cellIs" dxfId="69" priority="13" operator="between">
      <formula>-1.96</formula>
      <formula>1.96</formula>
    </cfRule>
    <cfRule type="cellIs" dxfId="68" priority="14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67" priority="4">
      <formula>OR(M33&gt;1.96,M33&lt;-1.96)</formula>
    </cfRule>
  </conditionalFormatting>
  <conditionalFormatting sqref="M33:P33 M35:P35 M37:P37">
    <cfRule type="cellIs" dxfId="66" priority="3" operator="between">
      <formula>-1.96</formula>
      <formula>1.96</formula>
    </cfRule>
    <cfRule type="cellIs" dxfId="65" priority="5" operator="notBetween">
      <formula>1.96</formula>
      <formula>-1.96</formula>
    </cfRule>
  </conditionalFormatting>
  <conditionalFormatting sqref="M39:P39 M41:P41 M43:P43 M45:P45 M47:P47 M49:P49 M51:P51 M53:P53 M55:P55">
    <cfRule type="cellIs" dxfId="64" priority="1" operator="between">
      <formula>-1.96</formula>
      <formula>1.96</formula>
    </cfRule>
    <cfRule type="cellIs" dxfId="63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8"/>
  <sheetViews>
    <sheetView topLeftCell="F1" workbookViewId="0">
      <pane ySplit="2" topLeftCell="A3" activePane="bottomLeft" state="frozen"/>
      <selection pane="bottomLeft" activeCell="J4" sqref="J4:S30"/>
    </sheetView>
  </sheetViews>
  <sheetFormatPr defaultRowHeight="16.5"/>
  <cols>
    <col min="1" max="1" width="6.625" style="46" bestFit="1" customWidth="1"/>
    <col min="2" max="3" width="10" style="38" customWidth="1"/>
    <col min="4" max="4" width="15.625" style="38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11" max="11" width="15.25" customWidth="1"/>
    <col min="12" max="19" width="10.75" customWidth="1"/>
  </cols>
  <sheetData>
    <row r="1" spans="1:19">
      <c r="A1" s="79" t="s">
        <v>35</v>
      </c>
      <c r="B1" s="79"/>
      <c r="C1" s="79"/>
      <c r="D1" s="79"/>
      <c r="E1" s="79"/>
      <c r="F1" s="79"/>
      <c r="G1" s="79"/>
      <c r="H1" s="79"/>
    </row>
    <row r="2" spans="1:19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19">
      <c r="A3" s="48" t="s">
        <v>28</v>
      </c>
      <c r="B3" s="38">
        <v>3</v>
      </c>
      <c r="C3" s="38">
        <v>3</v>
      </c>
      <c r="D3" s="38" t="s">
        <v>7</v>
      </c>
      <c r="E3" s="38">
        <v>174</v>
      </c>
      <c r="F3" s="39">
        <v>6.5399786010600001E-4</v>
      </c>
      <c r="G3" s="40">
        <v>0.21745151454295</v>
      </c>
      <c r="H3" s="41">
        <v>0.82811274020215697</v>
      </c>
    </row>
    <row r="4" spans="1:19">
      <c r="A4" s="48" t="s">
        <v>28</v>
      </c>
      <c r="B4" s="38">
        <v>3</v>
      </c>
      <c r="C4" s="38">
        <v>3</v>
      </c>
      <c r="D4" s="38" t="s">
        <v>8</v>
      </c>
      <c r="E4" s="38">
        <v>174</v>
      </c>
      <c r="F4" s="39">
        <v>9.4018875776481006E-3</v>
      </c>
      <c r="G4" s="40">
        <v>3.45651150593861</v>
      </c>
      <c r="H4" s="41">
        <v>6.8857760207070005E-4</v>
      </c>
      <c r="J4" s="80" t="s">
        <v>36</v>
      </c>
      <c r="K4" s="80"/>
      <c r="L4" s="80"/>
      <c r="M4" s="80"/>
      <c r="N4" s="80"/>
      <c r="O4" s="80"/>
      <c r="P4" s="80"/>
      <c r="Q4" s="80"/>
      <c r="R4" s="80"/>
      <c r="S4" s="80"/>
    </row>
    <row r="5" spans="1:19">
      <c r="A5" s="48" t="s">
        <v>28</v>
      </c>
      <c r="B5" s="42">
        <v>3</v>
      </c>
      <c r="C5" s="42">
        <v>3</v>
      </c>
      <c r="D5" s="42" t="s">
        <v>9</v>
      </c>
      <c r="E5" s="42">
        <v>174</v>
      </c>
      <c r="F5" s="43">
        <v>8.7478897175419998E-3</v>
      </c>
      <c r="G5" s="44">
        <v>3.5811010301841102</v>
      </c>
      <c r="H5" s="45">
        <v>4.4437098032460001E-4</v>
      </c>
      <c r="J5" s="34"/>
      <c r="K5" s="35"/>
      <c r="L5" s="81" t="s">
        <v>33</v>
      </c>
      <c r="M5" s="82"/>
      <c r="N5" s="82"/>
      <c r="O5" s="83"/>
      <c r="P5" s="84" t="s">
        <v>34</v>
      </c>
      <c r="Q5" s="85"/>
      <c r="R5" s="85"/>
      <c r="S5" s="86"/>
    </row>
    <row r="6" spans="1:19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15</v>
      </c>
      <c r="F6" s="39">
        <v>-1.6193296253140001E-4</v>
      </c>
      <c r="G6" s="40">
        <v>-1.94647710925453E-2</v>
      </c>
      <c r="H6" s="41">
        <v>0.98474503285669401</v>
      </c>
      <c r="J6" s="28" t="s">
        <v>16</v>
      </c>
      <c r="K6" s="22" t="s">
        <v>17</v>
      </c>
      <c r="L6" s="55">
        <v>3</v>
      </c>
      <c r="M6" s="55">
        <v>6</v>
      </c>
      <c r="N6" s="55">
        <v>9</v>
      </c>
      <c r="O6" s="56">
        <v>12</v>
      </c>
      <c r="P6" s="55">
        <v>3</v>
      </c>
      <c r="Q6" s="55">
        <v>6</v>
      </c>
      <c r="R6" s="55">
        <v>9</v>
      </c>
      <c r="S6" s="56">
        <v>12</v>
      </c>
    </row>
    <row r="7" spans="1:19">
      <c r="A7" s="48" t="s">
        <v>28</v>
      </c>
      <c r="B7" s="38">
        <v>3</v>
      </c>
      <c r="C7" s="38">
        <v>6</v>
      </c>
      <c r="D7" s="38" t="s">
        <v>8</v>
      </c>
      <c r="E7" s="38">
        <v>38</v>
      </c>
      <c r="F7" s="39">
        <v>8.2719903583152992E-3</v>
      </c>
      <c r="G7" s="40">
        <v>1.1082191449079699</v>
      </c>
      <c r="H7" s="41">
        <v>0.274919308460848</v>
      </c>
      <c r="J7" s="77">
        <v>3</v>
      </c>
      <c r="K7" s="76" t="s">
        <v>7</v>
      </c>
      <c r="L7" s="58">
        <v>6.9999999999999999E-4</v>
      </c>
      <c r="M7" s="58">
        <v>-2.0000000000000001E-4</v>
      </c>
      <c r="N7" s="58">
        <v>2.0000000000000001E-4</v>
      </c>
      <c r="O7" s="25">
        <v>4.0000000000000002E-4</v>
      </c>
      <c r="P7" s="58">
        <v>3.0000000000000001E-3</v>
      </c>
      <c r="Q7" s="58">
        <v>-6.9999999999999999E-4</v>
      </c>
      <c r="R7" s="58">
        <v>8.9999999999999998E-4</v>
      </c>
      <c r="S7" s="25">
        <v>8.9999999999999998E-4</v>
      </c>
    </row>
    <row r="8" spans="1:19">
      <c r="A8" s="48" t="s">
        <v>28</v>
      </c>
      <c r="B8" s="42">
        <v>3</v>
      </c>
      <c r="C8" s="42">
        <v>6</v>
      </c>
      <c r="D8" s="42" t="s">
        <v>9</v>
      </c>
      <c r="E8" s="42">
        <v>15</v>
      </c>
      <c r="F8" s="43">
        <v>1.09691315870191E-2</v>
      </c>
      <c r="G8" s="44">
        <v>1.8287653062834599</v>
      </c>
      <c r="H8" s="45">
        <v>8.8814227622390995E-2</v>
      </c>
      <c r="J8" s="62"/>
      <c r="K8" s="65"/>
      <c r="L8" s="19">
        <v>0.2175</v>
      </c>
      <c r="M8" s="19">
        <v>-1.95E-2</v>
      </c>
      <c r="N8" s="19">
        <v>0.1115</v>
      </c>
      <c r="O8" s="24">
        <v>0.2802</v>
      </c>
      <c r="P8" s="19">
        <v>1.0311999999999999</v>
      </c>
      <c r="Q8" s="19">
        <v>-9.98E-2</v>
      </c>
      <c r="R8" s="19">
        <v>0.56579999999999997</v>
      </c>
      <c r="S8" s="24">
        <v>0.64800000000000002</v>
      </c>
    </row>
    <row r="9" spans="1:19">
      <c r="A9" s="48" t="s">
        <v>28</v>
      </c>
      <c r="B9" s="38">
        <v>3</v>
      </c>
      <c r="C9" s="38">
        <v>9</v>
      </c>
      <c r="D9" s="38" t="s">
        <v>7</v>
      </c>
      <c r="E9" s="38">
        <v>168</v>
      </c>
      <c r="F9" s="39">
        <v>1.773963016586E-4</v>
      </c>
      <c r="G9" s="40">
        <v>0.111498028703038</v>
      </c>
      <c r="H9" s="41">
        <v>0.91135532443026201</v>
      </c>
      <c r="J9" s="78"/>
      <c r="K9" s="66" t="s">
        <v>8</v>
      </c>
      <c r="L9" s="58">
        <v>9.4000000000000004E-3</v>
      </c>
      <c r="M9" s="58">
        <v>8.3000000000000001E-3</v>
      </c>
      <c r="N9" s="58">
        <v>7.4999999999999997E-3</v>
      </c>
      <c r="O9" s="25">
        <v>5.4000000000000003E-3</v>
      </c>
      <c r="P9" s="58">
        <v>8.9999999999999993E-3</v>
      </c>
      <c r="Q9" s="58">
        <v>8.8000000000000005E-3</v>
      </c>
      <c r="R9" s="58">
        <v>7.3000000000000001E-3</v>
      </c>
      <c r="S9" s="25">
        <v>5.0000000000000001E-3</v>
      </c>
    </row>
    <row r="10" spans="1:19">
      <c r="A10" s="48" t="s">
        <v>28</v>
      </c>
      <c r="B10" s="38">
        <v>3</v>
      </c>
      <c r="C10" s="38">
        <v>9</v>
      </c>
      <c r="D10" s="38" t="s">
        <v>8</v>
      </c>
      <c r="E10" s="38">
        <v>168</v>
      </c>
      <c r="F10" s="39">
        <v>7.4523833706723001E-3</v>
      </c>
      <c r="G10" s="40">
        <v>4.3526899481671899</v>
      </c>
      <c r="H10" s="41">
        <v>2.3368066948242699E-5</v>
      </c>
      <c r="J10" s="62"/>
      <c r="K10" s="65"/>
      <c r="L10" s="19">
        <v>3.4565000000000001</v>
      </c>
      <c r="M10" s="19">
        <v>1.1082000000000001</v>
      </c>
      <c r="N10" s="19">
        <v>4.3526999999999996</v>
      </c>
      <c r="O10" s="24">
        <v>3.6307999999999998</v>
      </c>
      <c r="P10" s="19">
        <v>3.5196000000000001</v>
      </c>
      <c r="Q10" s="19">
        <v>1.2076</v>
      </c>
      <c r="R10" s="19">
        <v>4.3479000000000001</v>
      </c>
      <c r="S10" s="24">
        <v>3.4039999999999999</v>
      </c>
    </row>
    <row r="11" spans="1:19">
      <c r="A11" s="48" t="s">
        <v>28</v>
      </c>
      <c r="B11" s="42">
        <v>3</v>
      </c>
      <c r="C11" s="42">
        <v>9</v>
      </c>
      <c r="D11" s="42" t="s">
        <v>9</v>
      </c>
      <c r="E11" s="42">
        <v>168</v>
      </c>
      <c r="F11" s="43">
        <v>7.2749870690135996E-3</v>
      </c>
      <c r="G11" s="44">
        <v>5.1581413032765298</v>
      </c>
      <c r="H11" s="45">
        <v>6.9993637566785095E-7</v>
      </c>
      <c r="J11" s="78"/>
      <c r="K11" s="67" t="s">
        <v>9</v>
      </c>
      <c r="L11" s="58">
        <v>8.6999999999999994E-3</v>
      </c>
      <c r="M11" s="58">
        <v>1.0999999999999999E-2</v>
      </c>
      <c r="N11" s="58">
        <v>7.3000000000000001E-3</v>
      </c>
      <c r="O11" s="25">
        <v>4.8999999999999998E-3</v>
      </c>
      <c r="P11" s="58">
        <v>6.0000000000000001E-3</v>
      </c>
      <c r="Q11" s="58">
        <v>1.0200000000000001E-2</v>
      </c>
      <c r="R11" s="58">
        <v>6.4000000000000003E-3</v>
      </c>
      <c r="S11" s="25">
        <v>4.1000000000000003E-3</v>
      </c>
    </row>
    <row r="12" spans="1:19">
      <c r="A12" s="48" t="s">
        <v>28</v>
      </c>
      <c r="B12" s="38">
        <v>3</v>
      </c>
      <c r="C12" s="38">
        <v>12</v>
      </c>
      <c r="D12" s="38" t="s">
        <v>7</v>
      </c>
      <c r="E12" s="38">
        <v>165</v>
      </c>
      <c r="F12" s="39">
        <v>4.1023656750520003E-4</v>
      </c>
      <c r="G12" s="40">
        <v>0.28022030453888402</v>
      </c>
      <c r="H12" s="41">
        <v>0.77966164065412602</v>
      </c>
      <c r="J12" s="70"/>
      <c r="K12" s="71"/>
      <c r="L12" s="20">
        <v>3.5811000000000002</v>
      </c>
      <c r="M12" s="20">
        <v>1.8288</v>
      </c>
      <c r="N12" s="20">
        <v>5.1581000000000001</v>
      </c>
      <c r="O12" s="30">
        <v>4.0513000000000003</v>
      </c>
      <c r="P12" s="20">
        <v>2.4481000000000002</v>
      </c>
      <c r="Q12" s="20">
        <v>1.7351000000000001</v>
      </c>
      <c r="R12" s="20">
        <v>4.6402000000000001</v>
      </c>
      <c r="S12" s="30">
        <v>3.2963</v>
      </c>
    </row>
    <row r="13" spans="1:19">
      <c r="A13" s="48" t="s">
        <v>28</v>
      </c>
      <c r="B13" s="38">
        <v>3</v>
      </c>
      <c r="C13" s="38">
        <v>12</v>
      </c>
      <c r="D13" s="38" t="s">
        <v>8</v>
      </c>
      <c r="E13" s="38">
        <v>165</v>
      </c>
      <c r="F13" s="39">
        <v>5.358850040205E-3</v>
      </c>
      <c r="G13" s="40">
        <v>3.6308008252756698</v>
      </c>
      <c r="H13" s="41">
        <v>3.7731342802050001E-4</v>
      </c>
      <c r="J13" s="87">
        <v>6</v>
      </c>
      <c r="K13" s="64" t="s">
        <v>7</v>
      </c>
      <c r="L13" s="58">
        <v>-4.0000000000000002E-4</v>
      </c>
      <c r="M13" s="58">
        <v>-1E-4</v>
      </c>
      <c r="N13" s="58">
        <v>-1E-4</v>
      </c>
      <c r="O13" s="25">
        <v>6.9999999999999999E-4</v>
      </c>
      <c r="P13" s="58">
        <v>1.2999999999999999E-3</v>
      </c>
      <c r="Q13" s="58">
        <v>8.0000000000000004E-4</v>
      </c>
      <c r="R13" s="58">
        <v>5.0000000000000001E-4</v>
      </c>
      <c r="S13" s="25">
        <v>1.1999999999999999E-3</v>
      </c>
    </row>
    <row r="14" spans="1:19">
      <c r="A14" s="48" t="s">
        <v>28</v>
      </c>
      <c r="B14" s="42">
        <v>3</v>
      </c>
      <c r="C14" s="42">
        <v>12</v>
      </c>
      <c r="D14" s="42" t="s">
        <v>9</v>
      </c>
      <c r="E14" s="42">
        <v>165</v>
      </c>
      <c r="F14" s="43">
        <v>4.9486134726996998E-3</v>
      </c>
      <c r="G14" s="44">
        <v>4.0512914228445496</v>
      </c>
      <c r="H14" s="45">
        <v>7.8444623604545494E-5</v>
      </c>
      <c r="J14" s="62"/>
      <c r="K14" s="65"/>
      <c r="L14" s="19">
        <v>-0.1542</v>
      </c>
      <c r="M14" s="19">
        <v>-2.5499999999999998E-2</v>
      </c>
      <c r="N14" s="19">
        <v>-6.4699999999999994E-2</v>
      </c>
      <c r="O14" s="24">
        <v>0.49630000000000002</v>
      </c>
      <c r="P14" s="19">
        <v>0.44900000000000001</v>
      </c>
      <c r="Q14" s="19">
        <v>0.39290000000000003</v>
      </c>
      <c r="R14" s="19">
        <v>0.33100000000000002</v>
      </c>
      <c r="S14" s="24">
        <v>0.86019999999999996</v>
      </c>
    </row>
    <row r="15" spans="1:19">
      <c r="A15" s="48" t="s">
        <v>28</v>
      </c>
      <c r="B15" s="38">
        <v>6</v>
      </c>
      <c r="C15" s="38">
        <v>3</v>
      </c>
      <c r="D15" s="38" t="s">
        <v>7</v>
      </c>
      <c r="E15" s="38">
        <v>171</v>
      </c>
      <c r="F15" s="39">
        <v>-4.4075185645349999E-4</v>
      </c>
      <c r="G15" s="40">
        <v>-0.15424370997218401</v>
      </c>
      <c r="H15" s="41">
        <v>0.87760053919168102</v>
      </c>
      <c r="J15" s="78"/>
      <c r="K15" s="66" t="s">
        <v>8</v>
      </c>
      <c r="L15" s="58">
        <v>9.9000000000000008E-3</v>
      </c>
      <c r="M15" s="58">
        <v>7.9000000000000008E-3</v>
      </c>
      <c r="N15" s="58">
        <v>5.7000000000000002E-3</v>
      </c>
      <c r="O15" s="25">
        <v>3.8999999999999998E-3</v>
      </c>
      <c r="P15" s="58">
        <v>8.9999999999999993E-3</v>
      </c>
      <c r="Q15" s="58">
        <v>7.4999999999999997E-3</v>
      </c>
      <c r="R15" s="58">
        <v>5.4000000000000003E-3</v>
      </c>
      <c r="S15" s="25">
        <v>3.5999999999999999E-3</v>
      </c>
    </row>
    <row r="16" spans="1:19">
      <c r="A16" s="48" t="s">
        <v>28</v>
      </c>
      <c r="B16" s="38">
        <v>6</v>
      </c>
      <c r="C16" s="38">
        <v>3</v>
      </c>
      <c r="D16" s="38" t="s">
        <v>8</v>
      </c>
      <c r="E16" s="38">
        <v>171</v>
      </c>
      <c r="F16" s="39">
        <v>9.8572042195386005E-3</v>
      </c>
      <c r="G16" s="40">
        <v>3.5668963436685002</v>
      </c>
      <c r="H16" s="41">
        <v>4.694294472872E-4</v>
      </c>
      <c r="J16" s="62"/>
      <c r="K16" s="65"/>
      <c r="L16" s="19">
        <v>3.5669</v>
      </c>
      <c r="M16" s="19">
        <v>3.9394999999999998</v>
      </c>
      <c r="N16" s="19">
        <v>3.2644000000000002</v>
      </c>
      <c r="O16" s="24">
        <v>2.4937999999999998</v>
      </c>
      <c r="P16" s="19">
        <v>3.4127999999999998</v>
      </c>
      <c r="Q16" s="19">
        <v>3.8855</v>
      </c>
      <c r="R16" s="19">
        <v>3.2212999999999998</v>
      </c>
      <c r="S16" s="24">
        <v>2.3279000000000001</v>
      </c>
    </row>
    <row r="17" spans="1:19">
      <c r="A17" s="48" t="s">
        <v>28</v>
      </c>
      <c r="B17" s="42">
        <v>6</v>
      </c>
      <c r="C17" s="42">
        <v>3</v>
      </c>
      <c r="D17" s="42" t="s">
        <v>9</v>
      </c>
      <c r="E17" s="42">
        <v>171</v>
      </c>
      <c r="F17" s="43">
        <v>1.02979560759921E-2</v>
      </c>
      <c r="G17" s="44">
        <v>4.1733580740420599</v>
      </c>
      <c r="H17" s="45">
        <v>4.78100806154898E-5</v>
      </c>
      <c r="J17" s="78"/>
      <c r="K17" s="67" t="s">
        <v>9</v>
      </c>
      <c r="L17" s="58">
        <v>1.03E-2</v>
      </c>
      <c r="M17" s="58">
        <v>8.0000000000000002E-3</v>
      </c>
      <c r="N17" s="58">
        <v>5.7999999999999996E-3</v>
      </c>
      <c r="O17" s="25">
        <v>3.2000000000000002E-3</v>
      </c>
      <c r="P17" s="58">
        <v>7.7000000000000002E-3</v>
      </c>
      <c r="Q17" s="58">
        <v>6.7000000000000002E-3</v>
      </c>
      <c r="R17" s="58">
        <v>4.8999999999999998E-3</v>
      </c>
      <c r="S17" s="25">
        <v>2.3999999999999998E-3</v>
      </c>
    </row>
    <row r="18" spans="1:19">
      <c r="A18" s="48" t="s">
        <v>28</v>
      </c>
      <c r="B18" s="38">
        <v>6</v>
      </c>
      <c r="C18" s="38">
        <v>6</v>
      </c>
      <c r="D18" s="38" t="s">
        <v>7</v>
      </c>
      <c r="E18" s="38">
        <v>168</v>
      </c>
      <c r="F18" s="39">
        <v>-5.0371034720067502E-5</v>
      </c>
      <c r="G18" s="40">
        <v>-2.55258027606888E-2</v>
      </c>
      <c r="H18" s="41">
        <v>0.97966604347007302</v>
      </c>
      <c r="J18" s="70"/>
      <c r="K18" s="71"/>
      <c r="L18" s="20">
        <v>4.1734</v>
      </c>
      <c r="M18" s="20">
        <v>4.9622999999999999</v>
      </c>
      <c r="N18" s="20">
        <v>4.3404999999999996</v>
      </c>
      <c r="O18" s="30">
        <v>2.7881</v>
      </c>
      <c r="P18" s="20">
        <v>3.0779999999999998</v>
      </c>
      <c r="Q18" s="20">
        <v>4.1002999999999998</v>
      </c>
      <c r="R18" s="20">
        <v>3.7002000000000002</v>
      </c>
      <c r="S18" s="30">
        <v>2.0495999999999999</v>
      </c>
    </row>
    <row r="19" spans="1:19">
      <c r="A19" s="48" t="s">
        <v>28</v>
      </c>
      <c r="B19" s="38">
        <v>6</v>
      </c>
      <c r="C19" s="38">
        <v>6</v>
      </c>
      <c r="D19" s="38" t="s">
        <v>8</v>
      </c>
      <c r="E19" s="38">
        <v>168</v>
      </c>
      <c r="F19" s="39">
        <v>7.9196882216549993E-3</v>
      </c>
      <c r="G19" s="40">
        <v>3.9395202724444398</v>
      </c>
      <c r="H19" s="41">
        <v>1.197632086093E-4</v>
      </c>
      <c r="J19" s="87">
        <v>9</v>
      </c>
      <c r="K19" s="64" t="s">
        <v>7</v>
      </c>
      <c r="L19" s="58">
        <v>-2.2000000000000001E-3</v>
      </c>
      <c r="M19" s="58">
        <v>-1.8E-3</v>
      </c>
      <c r="N19" s="58">
        <v>-8.0000000000000004E-4</v>
      </c>
      <c r="O19" s="25">
        <v>8.9999999999999998E-4</v>
      </c>
      <c r="P19" s="58">
        <v>-2.9999999999999997E-4</v>
      </c>
      <c r="Q19" s="58">
        <v>-1E-3</v>
      </c>
      <c r="R19" s="58">
        <v>1E-4</v>
      </c>
      <c r="S19" s="25">
        <v>1.6000000000000001E-3</v>
      </c>
    </row>
    <row r="20" spans="1:19">
      <c r="A20" s="48" t="s">
        <v>28</v>
      </c>
      <c r="B20" s="42">
        <v>6</v>
      </c>
      <c r="C20" s="42">
        <v>6</v>
      </c>
      <c r="D20" s="42" t="s">
        <v>9</v>
      </c>
      <c r="E20" s="42">
        <v>168</v>
      </c>
      <c r="F20" s="43">
        <v>7.9700592563750998E-3</v>
      </c>
      <c r="G20" s="44">
        <v>4.9622764420373402</v>
      </c>
      <c r="H20" s="45">
        <v>1.7050261416767201E-6</v>
      </c>
      <c r="J20" s="62"/>
      <c r="K20" s="65"/>
      <c r="L20" s="19">
        <v>-0.70609999999999995</v>
      </c>
      <c r="M20" s="19">
        <v>-0.85129999999999995</v>
      </c>
      <c r="N20" s="19">
        <v>-0.51400000000000001</v>
      </c>
      <c r="O20" s="24">
        <v>0.5877</v>
      </c>
      <c r="P20" s="19">
        <v>-0.10050000000000001</v>
      </c>
      <c r="Q20" s="19">
        <v>-0.48859999999999998</v>
      </c>
      <c r="R20" s="19">
        <v>4.8099999999999997E-2</v>
      </c>
      <c r="S20" s="24">
        <v>1.1398999999999999</v>
      </c>
    </row>
    <row r="21" spans="1:19">
      <c r="A21" s="48" t="s">
        <v>28</v>
      </c>
      <c r="B21" s="38">
        <v>6</v>
      </c>
      <c r="C21" s="38">
        <v>9</v>
      </c>
      <c r="D21" s="38" t="s">
        <v>7</v>
      </c>
      <c r="E21" s="38">
        <v>165</v>
      </c>
      <c r="F21" s="39">
        <v>-1.032569424342E-4</v>
      </c>
      <c r="G21" s="40">
        <v>-6.4725946998550402E-2</v>
      </c>
      <c r="H21" s="41">
        <v>0.94847103241004604</v>
      </c>
      <c r="J21" s="78"/>
      <c r="K21" s="66" t="s">
        <v>8</v>
      </c>
      <c r="L21" s="58">
        <v>0.01</v>
      </c>
      <c r="M21" s="58">
        <v>6.4000000000000003E-3</v>
      </c>
      <c r="N21" s="58">
        <v>4.0000000000000001E-3</v>
      </c>
      <c r="O21" s="25">
        <v>2.8E-3</v>
      </c>
      <c r="P21" s="58">
        <v>9.7999999999999997E-3</v>
      </c>
      <c r="Q21" s="58">
        <v>6.1000000000000004E-3</v>
      </c>
      <c r="R21" s="58">
        <v>3.8E-3</v>
      </c>
      <c r="S21" s="25">
        <v>2.7000000000000001E-3</v>
      </c>
    </row>
    <row r="22" spans="1:19">
      <c r="A22" s="48" t="s">
        <v>28</v>
      </c>
      <c r="B22" s="38">
        <v>6</v>
      </c>
      <c r="C22" s="38">
        <v>9</v>
      </c>
      <c r="D22" s="38" t="s">
        <v>8</v>
      </c>
      <c r="E22" s="38">
        <v>165</v>
      </c>
      <c r="F22" s="39">
        <v>5.6843459609786998E-3</v>
      </c>
      <c r="G22" s="40">
        <v>3.2643618360900799</v>
      </c>
      <c r="H22" s="41">
        <v>1.3354283445182E-3</v>
      </c>
      <c r="J22" s="62"/>
      <c r="K22" s="65"/>
      <c r="L22" s="19">
        <v>3.4803000000000002</v>
      </c>
      <c r="M22" s="19">
        <v>3.0491000000000001</v>
      </c>
      <c r="N22" s="19">
        <v>2.1429</v>
      </c>
      <c r="O22" s="24">
        <v>1.6484000000000001</v>
      </c>
      <c r="P22" s="19">
        <v>3.6027</v>
      </c>
      <c r="Q22" s="19">
        <v>2.9863</v>
      </c>
      <c r="R22" s="19">
        <v>2.1223000000000001</v>
      </c>
      <c r="S22" s="24">
        <v>1.6088</v>
      </c>
    </row>
    <row r="23" spans="1:19">
      <c r="A23" s="48" t="s">
        <v>28</v>
      </c>
      <c r="B23" s="42">
        <v>6</v>
      </c>
      <c r="C23" s="42">
        <v>9</v>
      </c>
      <c r="D23" s="42" t="s">
        <v>9</v>
      </c>
      <c r="E23" s="42">
        <v>165</v>
      </c>
      <c r="F23" s="43">
        <v>5.7876029034129002E-3</v>
      </c>
      <c r="G23" s="44">
        <v>4.34054720180219</v>
      </c>
      <c r="H23" s="45">
        <v>2.4788497422250702E-5</v>
      </c>
      <c r="J23" s="78"/>
      <c r="K23" s="67" t="s">
        <v>9</v>
      </c>
      <c r="L23" s="58">
        <v>1.2200000000000001E-2</v>
      </c>
      <c r="M23" s="58">
        <v>8.2000000000000007E-3</v>
      </c>
      <c r="N23" s="58">
        <v>4.8999999999999998E-3</v>
      </c>
      <c r="O23" s="25">
        <v>1.9E-3</v>
      </c>
      <c r="P23" s="58">
        <v>1.01E-2</v>
      </c>
      <c r="Q23" s="58">
        <v>7.1000000000000004E-3</v>
      </c>
      <c r="R23" s="58">
        <v>3.8E-3</v>
      </c>
      <c r="S23" s="25">
        <v>1E-3</v>
      </c>
    </row>
    <row r="24" spans="1:19">
      <c r="A24" s="48" t="s">
        <v>28</v>
      </c>
      <c r="B24" s="38">
        <v>6</v>
      </c>
      <c r="C24" s="38">
        <v>12</v>
      </c>
      <c r="D24" s="38" t="s">
        <v>7</v>
      </c>
      <c r="E24" s="38">
        <v>162</v>
      </c>
      <c r="F24" s="39">
        <v>7.0010213806369999E-4</v>
      </c>
      <c r="G24" s="40">
        <v>0.49625608871571603</v>
      </c>
      <c r="H24" s="41">
        <v>0.62039056916178104</v>
      </c>
      <c r="J24" s="70"/>
      <c r="K24" s="71"/>
      <c r="L24" s="20">
        <v>4.6136999999999997</v>
      </c>
      <c r="M24" s="20">
        <v>4.6250999999999998</v>
      </c>
      <c r="N24" s="20">
        <v>3.3847</v>
      </c>
      <c r="O24" s="30">
        <v>1.5062</v>
      </c>
      <c r="P24" s="20">
        <v>3.8149999999999999</v>
      </c>
      <c r="Q24" s="20">
        <v>3.9318</v>
      </c>
      <c r="R24" s="20">
        <v>2.5766</v>
      </c>
      <c r="S24" s="30">
        <v>0.78680000000000005</v>
      </c>
    </row>
    <row r="25" spans="1:19">
      <c r="A25" s="48" t="s">
        <v>28</v>
      </c>
      <c r="B25" s="38">
        <v>6</v>
      </c>
      <c r="C25" s="38">
        <v>12</v>
      </c>
      <c r="D25" s="38" t="s">
        <v>8</v>
      </c>
      <c r="E25" s="38">
        <v>162</v>
      </c>
      <c r="F25" s="39">
        <v>3.9148266848778998E-3</v>
      </c>
      <c r="G25" s="40">
        <v>2.49382262974511</v>
      </c>
      <c r="H25" s="41">
        <v>1.3647495965306299E-2</v>
      </c>
      <c r="J25" s="87">
        <v>12</v>
      </c>
      <c r="K25" s="64" t="s">
        <v>7</v>
      </c>
      <c r="L25" s="58">
        <v>-2.8999999999999998E-3</v>
      </c>
      <c r="M25" s="58">
        <v>-1E-3</v>
      </c>
      <c r="N25" s="58">
        <v>8.0000000000000004E-4</v>
      </c>
      <c r="O25" s="25">
        <v>2.7000000000000001E-3</v>
      </c>
      <c r="P25" s="58">
        <v>-1.6000000000000001E-3</v>
      </c>
      <c r="Q25" s="58">
        <v>-2.9999999999999997E-4</v>
      </c>
      <c r="R25" s="58">
        <v>1.6000000000000001E-3</v>
      </c>
      <c r="S25" s="25">
        <v>3.3E-3</v>
      </c>
    </row>
    <row r="26" spans="1:19">
      <c r="A26" s="48" t="s">
        <v>28</v>
      </c>
      <c r="B26" s="42">
        <v>6</v>
      </c>
      <c r="C26" s="42">
        <v>12</v>
      </c>
      <c r="D26" s="42" t="s">
        <v>9</v>
      </c>
      <c r="E26" s="42">
        <v>162</v>
      </c>
      <c r="F26" s="43">
        <v>3.2147245468141998E-3</v>
      </c>
      <c r="G26" s="44">
        <v>2.7880671016920999</v>
      </c>
      <c r="H26" s="45">
        <v>5.9412115984968997E-3</v>
      </c>
      <c r="J26" s="62"/>
      <c r="K26" s="65"/>
      <c r="L26" s="19">
        <v>-0.94710000000000005</v>
      </c>
      <c r="M26" s="19">
        <v>-0.48099999999999998</v>
      </c>
      <c r="N26" s="19">
        <v>0.4919</v>
      </c>
      <c r="O26" s="24">
        <v>1.9845999999999999</v>
      </c>
      <c r="P26" s="19">
        <v>-0.53410000000000002</v>
      </c>
      <c r="Q26" s="19">
        <v>-0.156</v>
      </c>
      <c r="R26" s="19">
        <v>1.0532999999999999</v>
      </c>
      <c r="S26" s="24">
        <v>2.4843999999999999</v>
      </c>
    </row>
    <row r="27" spans="1:19">
      <c r="A27" s="48" t="s">
        <v>28</v>
      </c>
      <c r="B27" s="38">
        <v>9</v>
      </c>
      <c r="C27" s="38">
        <v>3</v>
      </c>
      <c r="D27" s="38" t="s">
        <v>7</v>
      </c>
      <c r="E27" s="38">
        <v>168</v>
      </c>
      <c r="F27" s="39">
        <v>-2.1668242780784998E-3</v>
      </c>
      <c r="G27" s="40">
        <v>-0.70610856981179704</v>
      </c>
      <c r="H27" s="41">
        <v>0.48110452626255201</v>
      </c>
      <c r="J27" s="78"/>
      <c r="K27" s="66" t="s">
        <v>8</v>
      </c>
      <c r="L27" s="58">
        <v>6.1999999999999998E-3</v>
      </c>
      <c r="M27" s="58">
        <v>4.4999999999999997E-3</v>
      </c>
      <c r="N27" s="58">
        <v>3.3999999999999998E-3</v>
      </c>
      <c r="O27" s="25">
        <v>3.0999999999999999E-3</v>
      </c>
      <c r="P27" s="58">
        <v>6.7000000000000002E-3</v>
      </c>
      <c r="Q27" s="58">
        <v>4.4000000000000003E-3</v>
      </c>
      <c r="R27" s="58">
        <v>3.3999999999999998E-3</v>
      </c>
      <c r="S27" s="25">
        <v>3.2000000000000002E-3</v>
      </c>
    </row>
    <row r="28" spans="1:19">
      <c r="A28" s="48" t="s">
        <v>28</v>
      </c>
      <c r="B28" s="38">
        <v>9</v>
      </c>
      <c r="C28" s="38">
        <v>3</v>
      </c>
      <c r="D28" s="38" t="s">
        <v>8</v>
      </c>
      <c r="E28" s="38">
        <v>168</v>
      </c>
      <c r="F28" s="39">
        <v>1.0035474198018099E-2</v>
      </c>
      <c r="G28" s="40">
        <v>3.4802932247029599</v>
      </c>
      <c r="H28" s="41">
        <v>6.3907109172360002E-4</v>
      </c>
      <c r="J28" s="62"/>
      <c r="K28" s="65"/>
      <c r="L28" s="19">
        <v>2.0687000000000002</v>
      </c>
      <c r="M28" s="19">
        <v>1.9040999999999999</v>
      </c>
      <c r="N28" s="19">
        <v>1.7153</v>
      </c>
      <c r="O28" s="24">
        <v>1.8170999999999999</v>
      </c>
      <c r="P28" s="19">
        <v>2.3048999999999999</v>
      </c>
      <c r="Q28" s="19">
        <v>1.9266000000000001</v>
      </c>
      <c r="R28" s="19">
        <v>1.788</v>
      </c>
      <c r="S28" s="24">
        <v>1.9496</v>
      </c>
    </row>
    <row r="29" spans="1:19">
      <c r="A29" s="48" t="s">
        <v>28</v>
      </c>
      <c r="B29" s="42">
        <v>9</v>
      </c>
      <c r="C29" s="42">
        <v>3</v>
      </c>
      <c r="D29" s="42" t="s">
        <v>9</v>
      </c>
      <c r="E29" s="42">
        <v>168</v>
      </c>
      <c r="F29" s="43">
        <v>1.22022984760966E-2</v>
      </c>
      <c r="G29" s="44">
        <v>4.6136852162137103</v>
      </c>
      <c r="H29" s="45">
        <v>7.8441325638500895E-6</v>
      </c>
      <c r="J29" s="78"/>
      <c r="K29" s="67" t="s">
        <v>9</v>
      </c>
      <c r="L29" s="58">
        <v>9.1000000000000004E-3</v>
      </c>
      <c r="M29" s="58">
        <v>5.4000000000000003E-3</v>
      </c>
      <c r="N29" s="58">
        <v>2.5999999999999999E-3</v>
      </c>
      <c r="O29" s="25">
        <v>4.0000000000000002E-4</v>
      </c>
      <c r="P29" s="58">
        <v>8.3000000000000001E-3</v>
      </c>
      <c r="Q29" s="58">
        <v>4.7000000000000002E-3</v>
      </c>
      <c r="R29" s="58">
        <v>1.8E-3</v>
      </c>
      <c r="S29" s="25">
        <v>-1E-4</v>
      </c>
    </row>
    <row r="30" spans="1:19">
      <c r="A30" s="48" t="s">
        <v>28</v>
      </c>
      <c r="B30" s="38">
        <v>9</v>
      </c>
      <c r="C30" s="38">
        <v>6</v>
      </c>
      <c r="D30" s="38" t="s">
        <v>7</v>
      </c>
      <c r="E30" s="38">
        <v>165</v>
      </c>
      <c r="F30" s="39">
        <v>-1.8015016104793E-3</v>
      </c>
      <c r="G30" s="40">
        <v>-0.85132796762382301</v>
      </c>
      <c r="H30" s="41">
        <v>0.39582854444995003</v>
      </c>
      <c r="J30" s="63"/>
      <c r="K30" s="68"/>
      <c r="L30" s="26">
        <v>3.1669999999999998</v>
      </c>
      <c r="M30" s="26">
        <v>2.6583000000000001</v>
      </c>
      <c r="N30" s="26">
        <v>1.5988</v>
      </c>
      <c r="O30" s="27">
        <v>0.2762</v>
      </c>
      <c r="P30" s="26">
        <v>2.8877999999999999</v>
      </c>
      <c r="Q30" s="26">
        <v>2.2544</v>
      </c>
      <c r="R30" s="26">
        <v>1.0844</v>
      </c>
      <c r="S30" s="27">
        <v>-4.36E-2</v>
      </c>
    </row>
    <row r="31" spans="1:19">
      <c r="A31" s="48" t="s">
        <v>28</v>
      </c>
      <c r="B31" s="38">
        <v>9</v>
      </c>
      <c r="C31" s="38">
        <v>6</v>
      </c>
      <c r="D31" s="38" t="s">
        <v>8</v>
      </c>
      <c r="E31" s="38">
        <v>165</v>
      </c>
      <c r="F31" s="39">
        <v>6.4354923314221E-3</v>
      </c>
      <c r="G31" s="40">
        <v>3.0491094490157198</v>
      </c>
      <c r="H31" s="41">
        <v>2.6767061535835999E-3</v>
      </c>
    </row>
    <row r="32" spans="1:19">
      <c r="A32" s="48" t="s">
        <v>28</v>
      </c>
      <c r="B32" s="42">
        <v>9</v>
      </c>
      <c r="C32" s="42">
        <v>6</v>
      </c>
      <c r="D32" s="42" t="s">
        <v>9</v>
      </c>
      <c r="E32" s="42">
        <v>165</v>
      </c>
      <c r="F32" s="43">
        <v>8.2369939419014992E-3</v>
      </c>
      <c r="G32" s="44">
        <v>4.6251047952286202</v>
      </c>
      <c r="H32" s="45">
        <v>7.5583499266803497E-6</v>
      </c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162</v>
      </c>
      <c r="F33" s="39">
        <v>-8.4453457540419996E-4</v>
      </c>
      <c r="G33" s="40">
        <v>-0.51395234713706395</v>
      </c>
      <c r="H33" s="41">
        <v>0.60798998585478103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162</v>
      </c>
      <c r="F34" s="39">
        <v>4.0253270149712998E-3</v>
      </c>
      <c r="G34" s="40">
        <v>2.1429143932340899</v>
      </c>
      <c r="H34" s="41">
        <v>3.3622338624198798E-2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162</v>
      </c>
      <c r="F35" s="43">
        <v>4.8698615903755996E-3</v>
      </c>
      <c r="G35" s="44">
        <v>3.38469675277672</v>
      </c>
      <c r="H35" s="45">
        <v>8.9512775805789999E-4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159</v>
      </c>
      <c r="F36" s="39">
        <v>8.5697844110750002E-4</v>
      </c>
      <c r="G36" s="40">
        <v>0.58771015742835797</v>
      </c>
      <c r="H36" s="41">
        <v>0.55756587223131404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159</v>
      </c>
      <c r="F37" s="39">
        <v>2.7783672284976998E-3</v>
      </c>
      <c r="G37" s="40">
        <v>1.6484072886393699</v>
      </c>
      <c r="H37" s="41">
        <v>0.10125617674840701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159</v>
      </c>
      <c r="F38" s="43">
        <v>1.9213887873901E-3</v>
      </c>
      <c r="G38" s="44">
        <v>1.5062064975516101</v>
      </c>
      <c r="H38" s="45">
        <v>0.13401082700467101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165</v>
      </c>
      <c r="F39" s="39">
        <v>-2.8972733249434E-3</v>
      </c>
      <c r="G39" s="40">
        <v>-0.94709508584020397</v>
      </c>
      <c r="H39" s="41">
        <v>0.34498373441139002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165</v>
      </c>
      <c r="F40" s="39">
        <v>6.1606003923709999E-3</v>
      </c>
      <c r="G40" s="40">
        <v>2.0687304397870401</v>
      </c>
      <c r="H40" s="41">
        <v>4.01407383526751E-2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165</v>
      </c>
      <c r="F41" s="43">
        <v>9.0578737173143999E-3</v>
      </c>
      <c r="G41" s="44">
        <v>3.1670070544403202</v>
      </c>
      <c r="H41" s="45">
        <v>1.8369757865298001E-3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162</v>
      </c>
      <c r="F42" s="39">
        <v>-9.738340805585E-4</v>
      </c>
      <c r="G42" s="40">
        <v>-0.48097977800152503</v>
      </c>
      <c r="H42" s="41">
        <v>0.63118386895267098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162</v>
      </c>
      <c r="F43" s="39">
        <v>4.4523566239248998E-3</v>
      </c>
      <c r="G43" s="40">
        <v>1.9041345332125601</v>
      </c>
      <c r="H43" s="41">
        <v>5.8676353137272798E-2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162</v>
      </c>
      <c r="F44" s="43">
        <v>5.4261907044835002E-3</v>
      </c>
      <c r="G44" s="44">
        <v>2.6582835681007699</v>
      </c>
      <c r="H44" s="45">
        <v>8.6465214804848003E-3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159</v>
      </c>
      <c r="F45" s="39">
        <v>7.8266396332110004E-4</v>
      </c>
      <c r="G45" s="40">
        <v>0.49187210899616601</v>
      </c>
      <c r="H45" s="41">
        <v>0.623492432106307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159</v>
      </c>
      <c r="F46" s="39">
        <v>3.3816962023017001E-3</v>
      </c>
      <c r="G46" s="40">
        <v>1.71531765239415</v>
      </c>
      <c r="H46" s="41">
        <v>8.8247374950654905E-2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159</v>
      </c>
      <c r="F47" s="43">
        <v>2.5990322389805001E-3</v>
      </c>
      <c r="G47" s="44">
        <v>1.5987782218790401</v>
      </c>
      <c r="H47" s="45">
        <v>0.11186773827754901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156</v>
      </c>
      <c r="F48" s="39">
        <v>2.6934872692816999E-3</v>
      </c>
      <c r="G48" s="40">
        <v>1.9845888193747401</v>
      </c>
      <c r="H48" s="41">
        <v>4.8955324487523703E-2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156</v>
      </c>
      <c r="F49" s="39">
        <v>3.0845164139524E-3</v>
      </c>
      <c r="G49" s="40">
        <v>1.8171390852432801</v>
      </c>
      <c r="H49" s="41">
        <v>7.1127350190598806E-2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156</v>
      </c>
      <c r="F50" s="43">
        <v>3.9102914467059998E-4</v>
      </c>
      <c r="G50" s="44">
        <v>0.27618886781937602</v>
      </c>
      <c r="H50" s="45">
        <v>0.78277091737329396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174</v>
      </c>
      <c r="F51" s="39">
        <v>3.0294627598198001E-3</v>
      </c>
      <c r="G51" s="40">
        <v>1.0311712975051499</v>
      </c>
      <c r="H51" s="41">
        <v>0.30389993743890797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174</v>
      </c>
      <c r="F52" s="39">
        <v>9.0335169184529995E-3</v>
      </c>
      <c r="G52" s="40">
        <v>3.5195648104244901</v>
      </c>
      <c r="H52" s="41">
        <v>5.5248544156280002E-4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174</v>
      </c>
      <c r="F53" s="43">
        <v>6.0040541586330997E-3</v>
      </c>
      <c r="G53" s="44">
        <v>2.4480612561571502</v>
      </c>
      <c r="H53" s="45">
        <v>1.53610171762562E-2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15</v>
      </c>
      <c r="F54" s="39">
        <v>-7.4265212548960005E-4</v>
      </c>
      <c r="G54" s="40">
        <v>-9.9763765215372002E-2</v>
      </c>
      <c r="H54" s="41">
        <v>0.92194638245937999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38</v>
      </c>
      <c r="F55" s="39">
        <v>8.817923670178E-3</v>
      </c>
      <c r="G55" s="40">
        <v>1.2075659201933799</v>
      </c>
      <c r="H55" s="41">
        <v>0.23487700488667401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15</v>
      </c>
      <c r="F56" s="43">
        <v>1.02235945128541E-2</v>
      </c>
      <c r="G56" s="44">
        <v>1.7351285104280301</v>
      </c>
      <c r="H56" s="45">
        <v>0.104667022873645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168</v>
      </c>
      <c r="F57" s="39">
        <v>8.70048597852E-4</v>
      </c>
      <c r="G57" s="40">
        <v>0.56575141704168996</v>
      </c>
      <c r="H57" s="41">
        <v>0.572322147859611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168</v>
      </c>
      <c r="F58" s="39">
        <v>7.3134006278988998E-3</v>
      </c>
      <c r="G58" s="40">
        <v>4.3479022954832196</v>
      </c>
      <c r="H58" s="41">
        <v>2.3830674688040199E-5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168</v>
      </c>
      <c r="F59" s="43">
        <v>6.4433520300468004E-3</v>
      </c>
      <c r="G59" s="44">
        <v>4.6401890864462203</v>
      </c>
      <c r="H59" s="45">
        <v>7.0036283831959402E-6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165</v>
      </c>
      <c r="F60" s="39">
        <v>9.3518969813179999E-4</v>
      </c>
      <c r="G60" s="40">
        <v>0.64800568929790503</v>
      </c>
      <c r="H60" s="41">
        <v>0.51788745534830505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165</v>
      </c>
      <c r="F61" s="39">
        <v>4.9921517409422999E-3</v>
      </c>
      <c r="G61" s="40">
        <v>3.40400232502</v>
      </c>
      <c r="H61" s="41">
        <v>8.3475647776630002E-4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165</v>
      </c>
      <c r="F62" s="43">
        <v>4.0569620428104998E-3</v>
      </c>
      <c r="G62" s="44">
        <v>3.2962762037642799</v>
      </c>
      <c r="H62" s="45">
        <v>1.201005144365E-3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171</v>
      </c>
      <c r="F63" s="39">
        <v>1.2832230634238001E-3</v>
      </c>
      <c r="G63" s="40">
        <v>0.44897534326677702</v>
      </c>
      <c r="H63" s="41">
        <v>0.65402125575155501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171</v>
      </c>
      <c r="F64" s="39">
        <v>8.9771612817633999E-3</v>
      </c>
      <c r="G64" s="40">
        <v>3.4128152105373499</v>
      </c>
      <c r="H64" s="41">
        <v>8.0366797109889996E-4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171</v>
      </c>
      <c r="F65" s="43">
        <v>7.6939382183395999E-3</v>
      </c>
      <c r="G65" s="44">
        <v>3.0780317227063199</v>
      </c>
      <c r="H65" s="45">
        <v>2.4297747605050001E-3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168</v>
      </c>
      <c r="F66" s="39">
        <v>7.5130972641989995E-4</v>
      </c>
      <c r="G66" s="40">
        <v>0.39290530932908002</v>
      </c>
      <c r="H66" s="41">
        <v>0.69489049793791402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168</v>
      </c>
      <c r="F67" s="39">
        <v>7.4799116164164002E-3</v>
      </c>
      <c r="G67" s="40">
        <v>3.8855105813406499</v>
      </c>
      <c r="H67" s="41">
        <v>1.4698735157060001E-4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168</v>
      </c>
      <c r="F68" s="43">
        <v>6.7286018899965E-3</v>
      </c>
      <c r="G68" s="44">
        <v>4.1003464828843796</v>
      </c>
      <c r="H68" s="45">
        <v>6.4291570239313693E-5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165</v>
      </c>
      <c r="F69" s="39">
        <v>5.1930009372580001E-4</v>
      </c>
      <c r="G69" s="40">
        <v>0.33104975564006101</v>
      </c>
      <c r="H69" s="41">
        <v>0.74102950559647196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165</v>
      </c>
      <c r="F70" s="39">
        <v>5.4336275712666996E-3</v>
      </c>
      <c r="G70" s="40">
        <v>3.2213005771623302</v>
      </c>
      <c r="H70" s="41">
        <v>1.5390720234269E-3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165</v>
      </c>
      <c r="F71" s="43">
        <v>4.9143274775408996E-3</v>
      </c>
      <c r="G71" s="44">
        <v>3.70018133014998</v>
      </c>
      <c r="H71" s="45">
        <v>2.9372087279640001E-4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162</v>
      </c>
      <c r="F72" s="39">
        <v>1.2028846160431999E-3</v>
      </c>
      <c r="G72" s="40">
        <v>0.86021323262059601</v>
      </c>
      <c r="H72" s="41">
        <v>0.39095064590225198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162</v>
      </c>
      <c r="F73" s="39">
        <v>3.6096380543629001E-3</v>
      </c>
      <c r="G73" s="40">
        <v>2.3278645562187901</v>
      </c>
      <c r="H73" s="41">
        <v>2.1163560838578701E-2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162</v>
      </c>
      <c r="F74" s="43">
        <v>2.4067534383197002E-3</v>
      </c>
      <c r="G74" s="44">
        <v>2.0496009732287899</v>
      </c>
      <c r="H74" s="45">
        <v>4.2025848353433898E-2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168</v>
      </c>
      <c r="F75" s="39">
        <v>-3.048154455703E-4</v>
      </c>
      <c r="G75" s="40">
        <v>-0.10052859364445101</v>
      </c>
      <c r="H75" s="41">
        <v>0.92004526907116002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168</v>
      </c>
      <c r="F76" s="39">
        <v>9.8239965437109996E-3</v>
      </c>
      <c r="G76" s="40">
        <v>3.6027331316133702</v>
      </c>
      <c r="H76" s="41">
        <v>4.1512739329550001E-4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168</v>
      </c>
      <c r="F77" s="43">
        <v>1.0128811989281301E-2</v>
      </c>
      <c r="G77" s="44">
        <v>3.8150351877792499</v>
      </c>
      <c r="H77" s="45">
        <v>1.914255207232E-4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165</v>
      </c>
      <c r="F78" s="39">
        <v>-1.0057621977130999E-3</v>
      </c>
      <c r="G78" s="40">
        <v>-0.48862748778834802</v>
      </c>
      <c r="H78" s="41">
        <v>0.62575819909098596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165</v>
      </c>
      <c r="F79" s="39">
        <v>6.1267621770888002E-3</v>
      </c>
      <c r="G79" s="40">
        <v>2.9863371660912401</v>
      </c>
      <c r="H79" s="41">
        <v>3.2565445474744999E-3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165</v>
      </c>
      <c r="F80" s="43">
        <v>7.1325243748018999E-3</v>
      </c>
      <c r="G80" s="44">
        <v>3.9318338086418501</v>
      </c>
      <c r="H80" s="45">
        <v>1.2413343387930001E-4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162</v>
      </c>
      <c r="F81" s="39">
        <v>7.8085046583142693E-5</v>
      </c>
      <c r="G81" s="40">
        <v>4.8112462709920999E-2</v>
      </c>
      <c r="H81" s="41">
        <v>0.96168624500312105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162</v>
      </c>
      <c r="F82" s="39">
        <v>3.8476523751837998E-3</v>
      </c>
      <c r="G82" s="40">
        <v>2.1222803150529099</v>
      </c>
      <c r="H82" s="41">
        <v>3.53439701517494E-2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162</v>
      </c>
      <c r="F83" s="43">
        <v>3.7695673286006E-3</v>
      </c>
      <c r="G83" s="44">
        <v>2.5766335177067501</v>
      </c>
      <c r="H83" s="45">
        <v>1.08745635050072E-2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159</v>
      </c>
      <c r="F84" s="39">
        <v>1.6305118771645999E-3</v>
      </c>
      <c r="G84" s="40">
        <v>1.1398980976336199</v>
      </c>
      <c r="H84" s="41">
        <v>0.25605383426703598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159</v>
      </c>
      <c r="F85" s="39">
        <v>2.6531588308337998E-3</v>
      </c>
      <c r="G85" s="40">
        <v>1.60880619507408</v>
      </c>
      <c r="H85" s="41">
        <v>0.10965502700810099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159</v>
      </c>
      <c r="F86" s="43">
        <v>1.0226469536691E-3</v>
      </c>
      <c r="G86" s="44">
        <v>0.78676973715324805</v>
      </c>
      <c r="H86" s="45">
        <v>0.43259517675408699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165</v>
      </c>
      <c r="F87" s="39">
        <v>-1.5828623317129999E-3</v>
      </c>
      <c r="G87" s="40">
        <v>-0.53407367795622296</v>
      </c>
      <c r="H87" s="41">
        <v>0.59401375746128904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165</v>
      </c>
      <c r="F88" s="39">
        <v>6.7173696161235003E-3</v>
      </c>
      <c r="G88" s="40">
        <v>2.3048764196591902</v>
      </c>
      <c r="H88" s="41">
        <v>2.2426960186654101E-2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165</v>
      </c>
      <c r="F89" s="43">
        <v>8.3002319478365002E-3</v>
      </c>
      <c r="G89" s="44">
        <v>2.8877621380161802</v>
      </c>
      <c r="H89" s="45">
        <v>4.4035867561090999E-3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162</v>
      </c>
      <c r="F90" s="39">
        <v>-3.0423177796510002E-4</v>
      </c>
      <c r="G90" s="40">
        <v>-0.15604938212743699</v>
      </c>
      <c r="H90" s="41">
        <v>0.87618958988120499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162</v>
      </c>
      <c r="F91" s="39">
        <v>4.3980414439079001E-3</v>
      </c>
      <c r="G91" s="40">
        <v>1.9265750936930299</v>
      </c>
      <c r="H91" s="41">
        <v>5.5793992618363403E-2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162</v>
      </c>
      <c r="F92" s="43">
        <v>4.7022732218729999E-3</v>
      </c>
      <c r="G92" s="44">
        <v>2.2544440993491799</v>
      </c>
      <c r="H92" s="45">
        <v>2.55167867576927E-2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159</v>
      </c>
      <c r="F93" s="39">
        <v>1.6332278234851001E-3</v>
      </c>
      <c r="G93" s="40">
        <v>1.0532960520405299</v>
      </c>
      <c r="H93" s="41">
        <v>0.29381344710204199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159</v>
      </c>
      <c r="F94" s="39">
        <v>3.3993172343721001E-3</v>
      </c>
      <c r="G94" s="40">
        <v>1.7879705709170399</v>
      </c>
      <c r="H94" s="41">
        <v>7.5697268121785496E-2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159</v>
      </c>
      <c r="F95" s="43">
        <v>1.766089410887E-3</v>
      </c>
      <c r="G95" s="44">
        <v>1.0843582197078701</v>
      </c>
      <c r="H95" s="45">
        <v>0.27985785320043399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156</v>
      </c>
      <c r="F96" s="39">
        <v>3.2592297777298998E-3</v>
      </c>
      <c r="G96" s="40">
        <v>2.48441292407766</v>
      </c>
      <c r="H96" s="41">
        <v>1.4039644174112499E-2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156</v>
      </c>
      <c r="F97" s="39">
        <v>3.1980364249454998E-3</v>
      </c>
      <c r="G97" s="40">
        <v>1.94963266535202</v>
      </c>
      <c r="H97" s="41">
        <v>5.3024730571229202E-2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156</v>
      </c>
      <c r="F98" s="43">
        <v>-6.1193352784394398E-5</v>
      </c>
      <c r="G98" s="44">
        <v>-4.3639755236872399E-2</v>
      </c>
      <c r="H98" s="45">
        <v>0.96524772987915797</v>
      </c>
    </row>
  </sheetData>
  <autoFilter ref="A2:H2">
    <sortState ref="A3:H98">
      <sortCondition ref="A2"/>
    </sortState>
  </autoFilter>
  <mergeCells count="20">
    <mergeCell ref="A1:H1"/>
    <mergeCell ref="J4:S4"/>
    <mergeCell ref="L5:O5"/>
    <mergeCell ref="P5:S5"/>
    <mergeCell ref="J7:J12"/>
    <mergeCell ref="K7:K8"/>
    <mergeCell ref="K9:K10"/>
    <mergeCell ref="K11:K12"/>
    <mergeCell ref="J25:J30"/>
    <mergeCell ref="K25:K26"/>
    <mergeCell ref="K27:K28"/>
    <mergeCell ref="K29:K30"/>
    <mergeCell ref="K13:K14"/>
    <mergeCell ref="K15:K16"/>
    <mergeCell ref="K17:K18"/>
    <mergeCell ref="J19:J24"/>
    <mergeCell ref="K19:K20"/>
    <mergeCell ref="K21:K22"/>
    <mergeCell ref="K23:K24"/>
    <mergeCell ref="J13:J18"/>
  </mergeCells>
  <phoneticPr fontId="19" type="noConversion"/>
  <conditionalFormatting sqref="F2">
    <cfRule type="cellIs" dxfId="62" priority="12" operator="lessThan">
      <formula>0</formula>
    </cfRule>
    <cfRule type="cellIs" dxfId="61" priority="13" operator="greaterThan">
      <formula>0</formula>
    </cfRule>
  </conditionalFormatting>
  <conditionalFormatting sqref="H2">
    <cfRule type="cellIs" dxfId="60" priority="11" operator="lessThan">
      <formula>0.05</formula>
    </cfRule>
  </conditionalFormatting>
  <conditionalFormatting sqref="L7:S7 L9:S9 L11:S11 L13:S13 L19:S19 L25:S25 L15:S15 L21:S21 L27:S27 L17:S17 L23:S23 L29:S29">
    <cfRule type="expression" dxfId="59" priority="4">
      <formula>OR(L8&gt;1.96,L8&lt;-1.96)</formula>
    </cfRule>
  </conditionalFormatting>
  <conditionalFormatting sqref="L8:S8 L10:S10 L12:S12">
    <cfRule type="cellIs" dxfId="58" priority="3" operator="between">
      <formula>-1.96</formula>
      <formula>1.96</formula>
    </cfRule>
    <cfRule type="cellIs" dxfId="57" priority="5" operator="notBetween">
      <formula>1.96</formula>
      <formula>-1.96</formula>
    </cfRule>
  </conditionalFormatting>
  <conditionalFormatting sqref="L14:S14 L20:S20 L26:S26 L16:S16 L22:S22 L28:S28 L18:S18 L24:S24 L30:S30">
    <cfRule type="cellIs" dxfId="56" priority="1" operator="between">
      <formula>-1.96</formula>
      <formula>1.96</formula>
    </cfRule>
    <cfRule type="cellIs" dxfId="55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55"/>
  <sheetViews>
    <sheetView zoomScaleNormal="100" workbookViewId="0">
      <pane ySplit="2" topLeftCell="A3" activePane="bottomLeft" state="frozen"/>
      <selection activeCell="E26" sqref="E26"/>
      <selection pane="bottomLeft" activeCell="L1" sqref="L1"/>
    </sheetView>
  </sheetViews>
  <sheetFormatPr defaultRowHeight="16.5"/>
  <cols>
    <col min="1" max="2" width="8.625" style="31" bestFit="1" customWidth="1"/>
    <col min="3" max="3" width="12.5" style="31" bestFit="1" customWidth="1"/>
    <col min="4" max="4" width="4.5" style="31" bestFit="1" customWidth="1"/>
    <col min="5" max="5" width="7.25" style="31" bestFit="1" customWidth="1"/>
    <col min="6" max="6" width="7.625" style="31" bestFit="1" customWidth="1"/>
    <col min="7" max="7" width="8.875" style="31" bestFit="1" customWidth="1"/>
    <col min="8" max="8" width="13.875" style="31" bestFit="1" customWidth="1"/>
    <col min="9" max="9" width="11.625" style="31" bestFit="1" customWidth="1"/>
    <col min="10" max="10" width="9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69" t="s">
        <v>18</v>
      </c>
      <c r="B1" s="69"/>
      <c r="C1" s="69"/>
      <c r="D1" s="69"/>
      <c r="E1" s="69"/>
      <c r="F1" s="69"/>
      <c r="G1" s="69"/>
      <c r="H1" s="69"/>
      <c r="I1" s="69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114</v>
      </c>
      <c r="E3" s="11">
        <v>1.2676155267130999E-3</v>
      </c>
      <c r="F3" s="9">
        <v>0.127652013401201</v>
      </c>
      <c r="G3" s="9">
        <v>0.89865125913546695</v>
      </c>
      <c r="H3" s="11">
        <f>(1 + E3)^(1 / B3) - 1</f>
        <v>4.2236009573914934E-4</v>
      </c>
      <c r="I3" s="11">
        <f>(1 + E3)^(12 / B3) - 1</f>
        <v>5.0801113516432128E-3</v>
      </c>
      <c r="K3" s="80" t="s">
        <v>18</v>
      </c>
      <c r="L3" s="80"/>
      <c r="M3" s="80"/>
      <c r="N3" s="80"/>
      <c r="O3" s="80"/>
      <c r="P3" s="80"/>
    </row>
    <row r="4" spans="1:16" ht="17.25" thickBot="1">
      <c r="A4" s="6">
        <v>3</v>
      </c>
      <c r="B4" s="6">
        <v>3</v>
      </c>
      <c r="C4" s="6" t="s">
        <v>8</v>
      </c>
      <c r="D4" s="6">
        <v>114</v>
      </c>
      <c r="E4" s="11">
        <v>2.4591457834495602E-2</v>
      </c>
      <c r="F4" s="9">
        <v>2.9832338535301401</v>
      </c>
      <c r="G4" s="9">
        <v>3.4952799955570999E-3</v>
      </c>
      <c r="H4" s="11">
        <f t="shared" ref="H4:H50" si="0">(1 + E4)^(1 / B4) - 1</f>
        <v>8.1308625067804119E-3</v>
      </c>
      <c r="I4" s="11">
        <f t="shared" ref="I4:I50" si="1">(1 + E4)^(12 / B4) - 1</f>
        <v>0.10205412157177629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114</v>
      </c>
      <c r="E5" s="11">
        <v>2.3323842307782498E-2</v>
      </c>
      <c r="F5" s="9">
        <v>3.66736435523846</v>
      </c>
      <c r="G5" s="9">
        <v>3.751809064949E-4</v>
      </c>
      <c r="H5" s="11">
        <f t="shared" si="0"/>
        <v>7.7149407269514469E-3</v>
      </c>
      <c r="I5" s="11">
        <f t="shared" si="1"/>
        <v>9.6610427720881908E-2</v>
      </c>
      <c r="K5" s="75" t="s">
        <v>12</v>
      </c>
      <c r="L5" s="76" t="s">
        <v>7</v>
      </c>
      <c r="M5" s="18">
        <v>1.2676155267130999E-3</v>
      </c>
      <c r="N5" s="18">
        <v>-2.2454643896497998E-3</v>
      </c>
      <c r="O5" s="18">
        <v>-4.9802207879865003E-3</v>
      </c>
      <c r="P5" s="25">
        <v>3.1250864080149999E-4</v>
      </c>
    </row>
    <row r="6" spans="1:16">
      <c r="A6" s="7">
        <v>3</v>
      </c>
      <c r="B6" s="7">
        <v>6</v>
      </c>
      <c r="C6" s="7" t="s">
        <v>7</v>
      </c>
      <c r="D6" s="7">
        <v>111</v>
      </c>
      <c r="E6" s="12">
        <v>-2.2454643896497998E-3</v>
      </c>
      <c r="F6" s="10">
        <v>-0.19245858023207699</v>
      </c>
      <c r="G6" s="10">
        <v>0.84773787571883197</v>
      </c>
      <c r="H6" s="12">
        <f t="shared" si="0"/>
        <v>-3.7459469273848356E-4</v>
      </c>
      <c r="I6" s="12">
        <f t="shared" si="1"/>
        <v>-4.4858866689744259E-3</v>
      </c>
      <c r="K6" s="62"/>
      <c r="L6" s="65"/>
      <c r="M6" s="19">
        <v>0.12770000000000001</v>
      </c>
      <c r="N6" s="19">
        <v>-0.1925</v>
      </c>
      <c r="O6" s="19">
        <v>-0.38109999999999999</v>
      </c>
      <c r="P6" s="24">
        <v>1.95E-2</v>
      </c>
    </row>
    <row r="7" spans="1:16">
      <c r="A7" s="7">
        <v>3</v>
      </c>
      <c r="B7" s="7">
        <v>6</v>
      </c>
      <c r="C7" s="7" t="s">
        <v>8</v>
      </c>
      <c r="D7" s="7">
        <v>111</v>
      </c>
      <c r="E7" s="12">
        <v>4.6514485130783302E-2</v>
      </c>
      <c r="F7" s="10">
        <v>3.8905337675188099</v>
      </c>
      <c r="G7" s="10">
        <v>1.7170331339619999E-4</v>
      </c>
      <c r="H7" s="12">
        <f t="shared" si="0"/>
        <v>7.6062994225785108E-3</v>
      </c>
      <c r="I7" s="12">
        <f t="shared" si="1"/>
        <v>9.5192567588548327E-2</v>
      </c>
      <c r="K7" s="62" t="s">
        <v>12</v>
      </c>
      <c r="L7" s="66" t="s">
        <v>8</v>
      </c>
      <c r="M7" s="18">
        <v>2.4591457834495602E-2</v>
      </c>
      <c r="N7" s="18">
        <v>4.6514485130783302E-2</v>
      </c>
      <c r="O7" s="18">
        <v>6.2453828535481599E-2</v>
      </c>
      <c r="P7" s="25">
        <v>6.6481726661294302E-2</v>
      </c>
    </row>
    <row r="8" spans="1:16">
      <c r="A8" s="2">
        <v>3</v>
      </c>
      <c r="B8" s="2">
        <v>6</v>
      </c>
      <c r="C8" s="7" t="s">
        <v>9</v>
      </c>
      <c r="D8" s="7">
        <v>111</v>
      </c>
      <c r="E8" s="12">
        <v>4.8759949520433103E-2</v>
      </c>
      <c r="F8" s="10">
        <v>7.1727799005828103</v>
      </c>
      <c r="G8" s="10">
        <v>9.0227491087471003E-11</v>
      </c>
      <c r="H8" s="12">
        <f t="shared" si="0"/>
        <v>7.9663078081129157E-3</v>
      </c>
      <c r="I8" s="12">
        <f t="shared" si="1"/>
        <v>9.9897431718101615E-2</v>
      </c>
      <c r="K8" s="62"/>
      <c r="L8" s="65"/>
      <c r="M8" s="19">
        <v>2.9832000000000001</v>
      </c>
      <c r="N8" s="19">
        <v>3.8904999999999998</v>
      </c>
      <c r="O8" s="19">
        <v>4.2088000000000001</v>
      </c>
      <c r="P8" s="24">
        <v>3.7414999999999998</v>
      </c>
    </row>
    <row r="9" spans="1:16">
      <c r="A9" s="6">
        <v>3</v>
      </c>
      <c r="B9" s="6">
        <v>9</v>
      </c>
      <c r="C9" s="6" t="s">
        <v>7</v>
      </c>
      <c r="D9" s="6">
        <v>108</v>
      </c>
      <c r="E9" s="11">
        <v>-4.9802207879865003E-3</v>
      </c>
      <c r="F9" s="9">
        <v>-0.38114629758028701</v>
      </c>
      <c r="G9" s="9">
        <v>0.70385043948405301</v>
      </c>
      <c r="H9" s="11">
        <f t="shared" si="0"/>
        <v>-5.5458653956874659E-4</v>
      </c>
      <c r="I9" s="11">
        <f t="shared" si="1"/>
        <v>-6.6347765827297067E-3</v>
      </c>
      <c r="K9" s="62" t="s">
        <v>12</v>
      </c>
      <c r="L9" s="67" t="s">
        <v>9</v>
      </c>
      <c r="M9" s="18">
        <v>2.3323842307782498E-2</v>
      </c>
      <c r="N9" s="18">
        <v>4.8759949520433103E-2</v>
      </c>
      <c r="O9" s="18">
        <v>6.7434049323468095E-2</v>
      </c>
      <c r="P9" s="25">
        <v>6.6169218020492707E-2</v>
      </c>
    </row>
    <row r="10" spans="1:16">
      <c r="A10" s="6">
        <v>3</v>
      </c>
      <c r="B10" s="6">
        <v>9</v>
      </c>
      <c r="C10" s="6" t="s">
        <v>8</v>
      </c>
      <c r="D10" s="6">
        <v>108</v>
      </c>
      <c r="E10" s="11">
        <v>6.2453828535481599E-2</v>
      </c>
      <c r="F10" s="9">
        <v>4.20880434785182</v>
      </c>
      <c r="G10" s="9">
        <v>5.3598713981954997E-5</v>
      </c>
      <c r="H10" s="11">
        <f t="shared" si="0"/>
        <v>6.7539463146371048E-3</v>
      </c>
      <c r="I10" s="11">
        <f t="shared" si="1"/>
        <v>8.412681823719792E-2</v>
      </c>
      <c r="K10" s="70"/>
      <c r="L10" s="71"/>
      <c r="M10" s="20">
        <v>3.6674000000000002</v>
      </c>
      <c r="N10" s="20">
        <v>7.1727999999999996</v>
      </c>
      <c r="O10" s="20">
        <v>8.6905999999999999</v>
      </c>
      <c r="P10" s="30">
        <v>7.0267999999999997</v>
      </c>
    </row>
    <row r="11" spans="1:16">
      <c r="A11" s="5">
        <v>3</v>
      </c>
      <c r="B11" s="5">
        <v>9</v>
      </c>
      <c r="C11" s="6" t="s">
        <v>9</v>
      </c>
      <c r="D11" s="6">
        <v>108</v>
      </c>
      <c r="E11" s="11">
        <v>6.7434049323468095E-2</v>
      </c>
      <c r="F11" s="9">
        <v>8.6905835945024705</v>
      </c>
      <c r="G11" s="9">
        <v>4.6078621241686099E-14</v>
      </c>
      <c r="H11" s="11">
        <f t="shared" si="0"/>
        <v>7.2772048373723752E-3</v>
      </c>
      <c r="I11" s="11">
        <f t="shared" si="1"/>
        <v>9.090785596679174E-2</v>
      </c>
      <c r="K11" s="61" t="s">
        <v>13</v>
      </c>
      <c r="L11" s="64" t="s">
        <v>7</v>
      </c>
      <c r="M11" s="18">
        <v>-1.4E-3</v>
      </c>
      <c r="N11" s="18">
        <v>-6.4000000000000003E-3</v>
      </c>
      <c r="O11" s="18">
        <v>-5.3E-3</v>
      </c>
      <c r="P11" s="25">
        <v>3.3E-3</v>
      </c>
    </row>
    <row r="12" spans="1:16">
      <c r="A12" s="7">
        <v>3</v>
      </c>
      <c r="B12" s="7">
        <v>12</v>
      </c>
      <c r="C12" s="7" t="s">
        <v>7</v>
      </c>
      <c r="D12" s="7">
        <v>105</v>
      </c>
      <c r="E12" s="12">
        <v>3.1250864080149999E-4</v>
      </c>
      <c r="F12" s="10">
        <v>1.9490597473919499E-2</v>
      </c>
      <c r="G12" s="10">
        <v>0.98448708216231096</v>
      </c>
      <c r="H12" s="12">
        <f t="shared" si="0"/>
        <v>2.603865734562838E-5</v>
      </c>
      <c r="I12" s="12">
        <f t="shared" si="1"/>
        <v>3.1250864080156759E-4</v>
      </c>
      <c r="K12" s="62"/>
      <c r="L12" s="65"/>
      <c r="M12" s="19">
        <v>-0.1338</v>
      </c>
      <c r="N12" s="19">
        <v>-0.52500000000000002</v>
      </c>
      <c r="O12" s="19">
        <v>-0.37209999999999999</v>
      </c>
      <c r="P12" s="24">
        <v>0.1978</v>
      </c>
    </row>
    <row r="13" spans="1:16">
      <c r="A13" s="7">
        <v>3</v>
      </c>
      <c r="B13" s="7">
        <v>12</v>
      </c>
      <c r="C13" s="7" t="s">
        <v>8</v>
      </c>
      <c r="D13" s="7">
        <v>105</v>
      </c>
      <c r="E13" s="12">
        <v>6.6481726661294302E-2</v>
      </c>
      <c r="F13" s="10">
        <v>3.7415387914354601</v>
      </c>
      <c r="G13" s="10">
        <v>2.9983269664809998E-4</v>
      </c>
      <c r="H13" s="12">
        <f t="shared" si="0"/>
        <v>5.3781711207152583E-3</v>
      </c>
      <c r="I13" s="12">
        <f t="shared" si="1"/>
        <v>6.648172666129426E-2</v>
      </c>
      <c r="K13" s="62" t="s">
        <v>13</v>
      </c>
      <c r="L13" s="66" t="s">
        <v>8</v>
      </c>
      <c r="M13" s="18">
        <v>2.8400000000000002E-2</v>
      </c>
      <c r="N13" s="18">
        <v>5.3400000000000003E-2</v>
      </c>
      <c r="O13" s="18">
        <v>6.54E-2</v>
      </c>
      <c r="P13" s="25">
        <v>6.6100000000000006E-2</v>
      </c>
    </row>
    <row r="14" spans="1:16">
      <c r="A14" s="2">
        <v>3</v>
      </c>
      <c r="B14" s="2">
        <v>12</v>
      </c>
      <c r="C14" s="7" t="s">
        <v>9</v>
      </c>
      <c r="D14" s="7">
        <v>105</v>
      </c>
      <c r="E14" s="12">
        <v>6.6169218020492707E-2</v>
      </c>
      <c r="F14" s="10">
        <v>7.0267777188403997</v>
      </c>
      <c r="G14" s="10">
        <v>2.2733299034642299E-10</v>
      </c>
      <c r="H14" s="12">
        <f t="shared" si="0"/>
        <v>5.3536175221247095E-3</v>
      </c>
      <c r="I14" s="12">
        <f t="shared" si="1"/>
        <v>6.6169218020492693E-2</v>
      </c>
      <c r="K14" s="62"/>
      <c r="L14" s="65"/>
      <c r="M14" s="19">
        <v>3.3134999999999999</v>
      </c>
      <c r="N14" s="19">
        <v>4.3571</v>
      </c>
      <c r="O14" s="19">
        <v>4.2686000000000002</v>
      </c>
      <c r="P14" s="24">
        <v>3.5331999999999999</v>
      </c>
    </row>
    <row r="15" spans="1:16">
      <c r="A15" s="6">
        <v>6</v>
      </c>
      <c r="B15" s="6">
        <v>3</v>
      </c>
      <c r="C15" s="6" t="s">
        <v>7</v>
      </c>
      <c r="D15" s="6">
        <v>111</v>
      </c>
      <c r="E15" s="11">
        <v>-1.4076547465482999E-3</v>
      </c>
      <c r="F15" s="9">
        <v>-0.13383246420937001</v>
      </c>
      <c r="G15" s="9">
        <v>0.89377960326253703</v>
      </c>
      <c r="H15" s="11">
        <f t="shared" si="0"/>
        <v>-4.6943858695258633E-4</v>
      </c>
      <c r="I15" s="11">
        <f t="shared" si="1"/>
        <v>-5.61874118797967E-3</v>
      </c>
      <c r="K15" s="62" t="s">
        <v>13</v>
      </c>
      <c r="L15" s="67" t="s">
        <v>9</v>
      </c>
      <c r="M15" s="18">
        <v>2.9899999999999999E-2</v>
      </c>
      <c r="N15" s="18">
        <v>5.9900000000000002E-2</v>
      </c>
      <c r="O15" s="18">
        <v>7.0599999999999996E-2</v>
      </c>
      <c r="P15" s="25">
        <v>6.2799999999999995E-2</v>
      </c>
    </row>
    <row r="16" spans="1:16">
      <c r="A16" s="6">
        <v>6</v>
      </c>
      <c r="B16" s="6">
        <v>3</v>
      </c>
      <c r="C16" s="6" t="s">
        <v>8</v>
      </c>
      <c r="D16" s="6">
        <v>111</v>
      </c>
      <c r="E16" s="11">
        <v>2.8445527052294899E-2</v>
      </c>
      <c r="F16" s="9">
        <v>3.31346699484578</v>
      </c>
      <c r="G16" s="9">
        <v>1.2479282761841E-3</v>
      </c>
      <c r="H16" s="11">
        <f t="shared" si="0"/>
        <v>9.3933314033969317E-3</v>
      </c>
      <c r="I16" s="11">
        <f t="shared" si="1"/>
        <v>0.11872971755172745</v>
      </c>
      <c r="K16" s="70"/>
      <c r="L16" s="71"/>
      <c r="M16" s="20">
        <v>4.4635999999999996</v>
      </c>
      <c r="N16" s="20">
        <v>8.1321999999999992</v>
      </c>
      <c r="O16" s="20">
        <v>8.0859000000000005</v>
      </c>
      <c r="P16" s="30">
        <v>5.5835999999999997</v>
      </c>
    </row>
    <row r="17" spans="1:16">
      <c r="A17" s="5">
        <v>6</v>
      </c>
      <c r="B17" s="5">
        <v>3</v>
      </c>
      <c r="C17" s="6" t="s">
        <v>9</v>
      </c>
      <c r="D17" s="6">
        <v>111</v>
      </c>
      <c r="E17" s="11">
        <v>2.98531817988433E-2</v>
      </c>
      <c r="F17" s="9">
        <v>4.4635654830199902</v>
      </c>
      <c r="G17" s="9">
        <v>1.9584885203990201E-5</v>
      </c>
      <c r="H17" s="11">
        <f t="shared" si="0"/>
        <v>9.8536473228396648E-3</v>
      </c>
      <c r="I17" s="11">
        <f t="shared" si="1"/>
        <v>0.12486721834689551</v>
      </c>
      <c r="K17" s="61" t="s">
        <v>14</v>
      </c>
      <c r="L17" s="64" t="s">
        <v>7</v>
      </c>
      <c r="M17" s="18">
        <v>-2.8999999999999998E-3</v>
      </c>
      <c r="N17" s="18">
        <v>-4.1000000000000003E-3</v>
      </c>
      <c r="O17" s="18">
        <v>6.9999999999999999E-4</v>
      </c>
      <c r="P17" s="25">
        <v>2.1899999999999999E-2</v>
      </c>
    </row>
    <row r="18" spans="1:16">
      <c r="A18" s="7">
        <v>6</v>
      </c>
      <c r="B18" s="7">
        <v>6</v>
      </c>
      <c r="C18" s="7" t="s">
        <v>7</v>
      </c>
      <c r="D18" s="7">
        <v>108</v>
      </c>
      <c r="E18" s="12">
        <v>-6.4356153283792001E-3</v>
      </c>
      <c r="F18" s="10">
        <v>-0.52503352929487601</v>
      </c>
      <c r="G18" s="10">
        <v>0.60064608744949899</v>
      </c>
      <c r="H18" s="12">
        <f t="shared" si="0"/>
        <v>-1.0754901088527724E-3</v>
      </c>
      <c r="I18" s="12">
        <f t="shared" si="1"/>
        <v>-1.2829813512103549E-2</v>
      </c>
      <c r="K18" s="62"/>
      <c r="L18" s="65"/>
      <c r="M18" s="19">
        <v>-0.27</v>
      </c>
      <c r="N18" s="19">
        <v>-0.31140000000000001</v>
      </c>
      <c r="O18" s="19">
        <v>4.4600000000000001E-2</v>
      </c>
      <c r="P18" s="24">
        <v>1.2035</v>
      </c>
    </row>
    <row r="19" spans="1:16">
      <c r="A19" s="7">
        <v>6</v>
      </c>
      <c r="B19" s="7">
        <v>6</v>
      </c>
      <c r="C19" s="7" t="s">
        <v>8</v>
      </c>
      <c r="D19" s="7">
        <v>108</v>
      </c>
      <c r="E19" s="12">
        <v>5.3423012833033502E-2</v>
      </c>
      <c r="F19" s="10">
        <v>4.3571151294927004</v>
      </c>
      <c r="G19" s="10">
        <v>3.0347787394542301E-5</v>
      </c>
      <c r="H19" s="12">
        <f t="shared" si="0"/>
        <v>8.7118750915595733E-3</v>
      </c>
      <c r="I19" s="12">
        <f t="shared" si="1"/>
        <v>0.10970004396622546</v>
      </c>
      <c r="K19" s="62" t="s">
        <v>14</v>
      </c>
      <c r="L19" s="66" t="s">
        <v>8</v>
      </c>
      <c r="M19" s="18">
        <v>2.87E-2</v>
      </c>
      <c r="N19" s="18">
        <v>4.6199999999999998E-2</v>
      </c>
      <c r="O19" s="18">
        <v>5.3499999999999999E-2</v>
      </c>
      <c r="P19" s="25">
        <v>5.2900000000000003E-2</v>
      </c>
    </row>
    <row r="20" spans="1:16">
      <c r="A20" s="2">
        <v>6</v>
      </c>
      <c r="B20" s="2">
        <v>6</v>
      </c>
      <c r="C20" s="7" t="s">
        <v>9</v>
      </c>
      <c r="D20" s="7">
        <v>108</v>
      </c>
      <c r="E20" s="12">
        <v>5.9858628161412797E-2</v>
      </c>
      <c r="F20" s="10">
        <v>8.1322070379431892</v>
      </c>
      <c r="G20" s="10">
        <v>8.0858403211357997E-13</v>
      </c>
      <c r="H20" s="12">
        <f t="shared" si="0"/>
        <v>9.7363477341125826E-3</v>
      </c>
      <c r="I20" s="12">
        <f t="shared" si="1"/>
        <v>0.12330031168819189</v>
      </c>
      <c r="K20" s="62"/>
      <c r="L20" s="65"/>
      <c r="M20" s="19">
        <v>3.2566999999999999</v>
      </c>
      <c r="N20" s="19">
        <v>3.8298000000000001</v>
      </c>
      <c r="O20" s="19">
        <v>3.5236000000000001</v>
      </c>
      <c r="P20" s="24">
        <v>2.8147000000000002</v>
      </c>
    </row>
    <row r="21" spans="1:16">
      <c r="A21" s="6">
        <v>6</v>
      </c>
      <c r="B21" s="6">
        <v>9</v>
      </c>
      <c r="C21" s="6" t="s">
        <v>7</v>
      </c>
      <c r="D21" s="6">
        <v>105</v>
      </c>
      <c r="E21" s="11">
        <v>-5.2533604176780999E-3</v>
      </c>
      <c r="F21" s="9">
        <v>-0.37209988346391598</v>
      </c>
      <c r="G21" s="9">
        <v>0.71057560875417503</v>
      </c>
      <c r="H21" s="11">
        <f t="shared" si="0"/>
        <v>-5.8507409222985363E-4</v>
      </c>
      <c r="I21" s="11">
        <f t="shared" si="1"/>
        <v>-6.9983405381406349E-3</v>
      </c>
      <c r="K21" s="62" t="s">
        <v>14</v>
      </c>
      <c r="L21" s="67" t="s">
        <v>9</v>
      </c>
      <c r="M21" s="18">
        <v>3.1699999999999999E-2</v>
      </c>
      <c r="N21" s="18">
        <v>5.0299999999999997E-2</v>
      </c>
      <c r="O21" s="18">
        <v>5.28E-2</v>
      </c>
      <c r="P21" s="25">
        <v>3.1E-2</v>
      </c>
    </row>
    <row r="22" spans="1:16">
      <c r="A22" s="6">
        <v>6</v>
      </c>
      <c r="B22" s="6">
        <v>9</v>
      </c>
      <c r="C22" s="6" t="s">
        <v>8</v>
      </c>
      <c r="D22" s="6">
        <v>105</v>
      </c>
      <c r="E22" s="11">
        <v>6.5380819957443395E-2</v>
      </c>
      <c r="F22" s="9">
        <v>4.2686127785260002</v>
      </c>
      <c r="G22" s="9">
        <v>4.35424460586264E-5</v>
      </c>
      <c r="H22" s="11">
        <f t="shared" si="0"/>
        <v>7.0617409555484567E-3</v>
      </c>
      <c r="I22" s="11">
        <f t="shared" si="1"/>
        <v>8.8110911071068276E-2</v>
      </c>
      <c r="K22" s="70"/>
      <c r="L22" s="71"/>
      <c r="M22" s="20">
        <v>4.5004999999999997</v>
      </c>
      <c r="N22" s="20">
        <v>6.2243000000000004</v>
      </c>
      <c r="O22" s="20">
        <v>5.3448000000000002</v>
      </c>
      <c r="P22" s="30">
        <v>2.383</v>
      </c>
    </row>
    <row r="23" spans="1:16">
      <c r="A23" s="5">
        <v>6</v>
      </c>
      <c r="B23" s="5">
        <v>9</v>
      </c>
      <c r="C23" s="6" t="s">
        <v>9</v>
      </c>
      <c r="D23" s="6">
        <v>105</v>
      </c>
      <c r="E23" s="11">
        <v>7.0634180375121494E-2</v>
      </c>
      <c r="F23" s="9">
        <v>8.0859196216081006</v>
      </c>
      <c r="G23" s="9">
        <v>1.1951262034588E-12</v>
      </c>
      <c r="H23" s="11">
        <f t="shared" si="0"/>
        <v>7.6122900379147485E-3</v>
      </c>
      <c r="I23" s="11">
        <f t="shared" si="1"/>
        <v>9.5270706344982026E-2</v>
      </c>
      <c r="K23" s="61" t="s">
        <v>15</v>
      </c>
      <c r="L23" s="64" t="s">
        <v>7</v>
      </c>
      <c r="M23" s="18">
        <v>1E-3</v>
      </c>
      <c r="N23" s="18">
        <v>7.1000000000000004E-3</v>
      </c>
      <c r="O23" s="18">
        <v>2.1700000000000001E-2</v>
      </c>
      <c r="P23" s="25">
        <v>5.0299999999999997E-2</v>
      </c>
    </row>
    <row r="24" spans="1:16">
      <c r="A24" s="7">
        <v>6</v>
      </c>
      <c r="B24" s="7">
        <v>12</v>
      </c>
      <c r="C24" s="7" t="s">
        <v>7</v>
      </c>
      <c r="D24" s="7">
        <v>102</v>
      </c>
      <c r="E24" s="12">
        <v>3.3447675404103001E-3</v>
      </c>
      <c r="F24" s="10">
        <v>0.197798860895393</v>
      </c>
      <c r="G24" s="10">
        <v>0.84359999011073195</v>
      </c>
      <c r="H24" s="12">
        <f t="shared" si="0"/>
        <v>2.7830424005936827E-4</v>
      </c>
      <c r="I24" s="12">
        <f t="shared" si="1"/>
        <v>3.3447675404103538E-3</v>
      </c>
      <c r="K24" s="62"/>
      <c r="L24" s="65"/>
      <c r="M24" s="19">
        <v>8.6599999999999996E-2</v>
      </c>
      <c r="N24" s="19">
        <v>0.51700000000000002</v>
      </c>
      <c r="O24" s="19">
        <v>1.3542000000000001</v>
      </c>
      <c r="P24" s="24">
        <v>2.6859000000000002</v>
      </c>
    </row>
    <row r="25" spans="1:16">
      <c r="A25" s="7">
        <v>6</v>
      </c>
      <c r="B25" s="7">
        <v>12</v>
      </c>
      <c r="C25" s="7" t="s">
        <v>8</v>
      </c>
      <c r="D25" s="7">
        <v>102</v>
      </c>
      <c r="E25" s="12">
        <v>6.6129887981665594E-2</v>
      </c>
      <c r="F25" s="10">
        <v>3.5331969002778298</v>
      </c>
      <c r="G25" s="10">
        <v>6.2076480068909998E-4</v>
      </c>
      <c r="H25" s="12">
        <f t="shared" si="0"/>
        <v>5.3505269194409344E-3</v>
      </c>
      <c r="I25" s="12">
        <f t="shared" si="1"/>
        <v>6.6129887981665636E-2</v>
      </c>
      <c r="K25" s="62" t="s">
        <v>15</v>
      </c>
      <c r="L25" s="66" t="s">
        <v>8</v>
      </c>
      <c r="M25" s="18">
        <v>2.0199999999999999E-2</v>
      </c>
      <c r="N25" s="18">
        <v>3.2500000000000001E-2</v>
      </c>
      <c r="O25" s="18">
        <v>4.1000000000000002E-2</v>
      </c>
      <c r="P25" s="25">
        <v>5.4800000000000001E-2</v>
      </c>
    </row>
    <row r="26" spans="1:16">
      <c r="A26" s="7">
        <v>6</v>
      </c>
      <c r="B26" s="7">
        <v>12</v>
      </c>
      <c r="C26" s="7" t="s">
        <v>9</v>
      </c>
      <c r="D26" s="7">
        <v>102</v>
      </c>
      <c r="E26" s="12">
        <v>6.2785120441255296E-2</v>
      </c>
      <c r="F26" s="10">
        <v>5.5835919581785198</v>
      </c>
      <c r="G26" s="10">
        <v>1.9932779401453899E-7</v>
      </c>
      <c r="H26" s="12">
        <f t="shared" si="0"/>
        <v>5.0873078352458023E-3</v>
      </c>
      <c r="I26" s="12">
        <f t="shared" si="1"/>
        <v>6.2785120441255282E-2</v>
      </c>
      <c r="K26" s="62"/>
      <c r="L26" s="65"/>
      <c r="M26" s="19">
        <v>2.1631999999999998</v>
      </c>
      <c r="N26" s="19">
        <v>2.5712999999999999</v>
      </c>
      <c r="O26" s="19">
        <v>2.5897000000000001</v>
      </c>
      <c r="P26" s="24">
        <v>2.8549000000000002</v>
      </c>
    </row>
    <row r="27" spans="1:16">
      <c r="A27" s="6">
        <v>9</v>
      </c>
      <c r="B27" s="6">
        <v>3</v>
      </c>
      <c r="C27" s="6" t="s">
        <v>7</v>
      </c>
      <c r="D27" s="6">
        <v>108</v>
      </c>
      <c r="E27" s="11">
        <v>-2.9363116941563999E-3</v>
      </c>
      <c r="F27" s="9">
        <v>-0.27000289798885002</v>
      </c>
      <c r="G27" s="9">
        <v>0.78767808272027895</v>
      </c>
      <c r="H27" s="11">
        <f t="shared" si="0"/>
        <v>-9.7973012235996748E-4</v>
      </c>
      <c r="I27" s="11">
        <f t="shared" si="1"/>
        <v>-1.1693616410749619E-2</v>
      </c>
      <c r="K27" s="62" t="s">
        <v>15</v>
      </c>
      <c r="L27" s="67" t="s">
        <v>9</v>
      </c>
      <c r="M27" s="18">
        <v>1.9300000000000001E-2</v>
      </c>
      <c r="N27" s="18">
        <v>2.5399999999999999E-2</v>
      </c>
      <c r="O27" s="18">
        <v>1.9199999999999998E-2</v>
      </c>
      <c r="P27" s="25">
        <v>4.5999999999999999E-3</v>
      </c>
    </row>
    <row r="28" spans="1:16">
      <c r="A28" s="6">
        <v>9</v>
      </c>
      <c r="B28" s="6">
        <v>3</v>
      </c>
      <c r="C28" s="6" t="s">
        <v>8</v>
      </c>
      <c r="D28" s="6">
        <v>108</v>
      </c>
      <c r="E28" s="11">
        <v>2.8724565219103802E-2</v>
      </c>
      <c r="F28" s="9">
        <v>3.2566806016391299</v>
      </c>
      <c r="G28" s="9">
        <v>1.5103880803215E-3</v>
      </c>
      <c r="H28" s="11">
        <f t="shared" si="0"/>
        <v>9.4846127880758857E-3</v>
      </c>
      <c r="I28" s="11">
        <f t="shared" si="1"/>
        <v>0.1199443481790432</v>
      </c>
      <c r="K28" s="63"/>
      <c r="L28" s="68"/>
      <c r="M28" s="26">
        <v>2.7603</v>
      </c>
      <c r="N28" s="26">
        <v>2.9274</v>
      </c>
      <c r="O28" s="26">
        <v>1.6753</v>
      </c>
      <c r="P28" s="27">
        <v>0.29770000000000002</v>
      </c>
    </row>
    <row r="29" spans="1:16">
      <c r="A29" s="5">
        <v>9</v>
      </c>
      <c r="B29" s="5">
        <v>3</v>
      </c>
      <c r="C29" s="6" t="s">
        <v>9</v>
      </c>
      <c r="D29" s="6">
        <v>108</v>
      </c>
      <c r="E29" s="11">
        <v>3.1660876913260298E-2</v>
      </c>
      <c r="F29" s="9">
        <v>4.5004545341873801</v>
      </c>
      <c r="G29" s="9">
        <v>1.73146684104927E-5</v>
      </c>
      <c r="H29" s="11">
        <f t="shared" si="0"/>
        <v>1.044416529710035E-2</v>
      </c>
      <c r="I29" s="11">
        <f t="shared" si="1"/>
        <v>0.13278592810383127</v>
      </c>
    </row>
    <row r="30" spans="1:16">
      <c r="A30" s="7">
        <v>9</v>
      </c>
      <c r="B30" s="7">
        <v>6</v>
      </c>
      <c r="C30" s="7" t="s">
        <v>7</v>
      </c>
      <c r="D30" s="7">
        <v>105</v>
      </c>
      <c r="E30" s="12">
        <v>-4.1427921277086997E-3</v>
      </c>
      <c r="F30" s="10">
        <v>-0.31137808636784498</v>
      </c>
      <c r="G30" s="10">
        <v>0.756136517128007</v>
      </c>
      <c r="H30" s="12">
        <f t="shared" si="0"/>
        <v>-6.9166023694511303E-4</v>
      </c>
      <c r="I30" s="12">
        <f t="shared" si="1"/>
        <v>-8.2684215288040264E-3</v>
      </c>
      <c r="K30" s="80" t="s">
        <v>25</v>
      </c>
      <c r="L30" s="80"/>
      <c r="M30" s="80"/>
      <c r="N30" s="80"/>
      <c r="O30" s="80"/>
      <c r="P30" s="80"/>
    </row>
    <row r="31" spans="1:16" ht="17.25" thickBot="1">
      <c r="A31" s="7">
        <v>9</v>
      </c>
      <c r="B31" s="7">
        <v>6</v>
      </c>
      <c r="C31" s="7" t="s">
        <v>8</v>
      </c>
      <c r="D31" s="7">
        <v>105</v>
      </c>
      <c r="E31" s="12">
        <v>4.6170674554659598E-2</v>
      </c>
      <c r="F31" s="10">
        <v>3.82976983341762</v>
      </c>
      <c r="G31" s="10">
        <v>2.19562610715E-4</v>
      </c>
      <c r="H31" s="12">
        <f t="shared" si="0"/>
        <v>7.551120518704213E-3</v>
      </c>
      <c r="I31" s="12">
        <f t="shared" si="1"/>
        <v>9.4473080298151269E-2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105</v>
      </c>
      <c r="E32" s="12">
        <v>5.0313466682368302E-2</v>
      </c>
      <c r="F32" s="10">
        <v>6.22427046124601</v>
      </c>
      <c r="G32" s="10">
        <v>1.03345588054265E-8</v>
      </c>
      <c r="H32" s="12">
        <f t="shared" si="0"/>
        <v>8.2150026845630997E-3</v>
      </c>
      <c r="I32" s="12">
        <f t="shared" si="1"/>
        <v>0.10315837829433461</v>
      </c>
      <c r="K32" s="75" t="s">
        <v>12</v>
      </c>
      <c r="L32" s="76" t="s">
        <v>7</v>
      </c>
      <c r="M32" s="18">
        <v>4.2236009573914934E-4</v>
      </c>
      <c r="N32" s="18">
        <v>-3.7459469273848356E-4</v>
      </c>
      <c r="O32" s="18">
        <v>-5.5458653956874659E-4</v>
      </c>
      <c r="P32" s="25">
        <v>2.603865734562838E-5</v>
      </c>
    </row>
    <row r="33" spans="1:16">
      <c r="A33" s="6">
        <v>9</v>
      </c>
      <c r="B33" s="6">
        <v>9</v>
      </c>
      <c r="C33" s="6" t="s">
        <v>7</v>
      </c>
      <c r="D33" s="6">
        <v>102</v>
      </c>
      <c r="E33" s="11">
        <v>6.6579571646269999E-4</v>
      </c>
      <c r="F33" s="9">
        <v>4.4601512967366301E-2</v>
      </c>
      <c r="G33" s="9">
        <v>0.96451299983973804</v>
      </c>
      <c r="H33" s="11">
        <f t="shared" si="0"/>
        <v>7.3955420436755404E-5</v>
      </c>
      <c r="I33" s="11">
        <f t="shared" si="1"/>
        <v>8.8782611492099761E-4</v>
      </c>
      <c r="K33" s="62"/>
      <c r="L33" s="65"/>
      <c r="M33" s="19">
        <f>M6</f>
        <v>0.12770000000000001</v>
      </c>
      <c r="N33" s="19">
        <f>N6</f>
        <v>-0.1925</v>
      </c>
      <c r="O33" s="19">
        <f>O6</f>
        <v>-0.38109999999999999</v>
      </c>
      <c r="P33" s="24">
        <f>P6</f>
        <v>1.95E-2</v>
      </c>
    </row>
    <row r="34" spans="1:16">
      <c r="A34" s="6">
        <v>9</v>
      </c>
      <c r="B34" s="6">
        <v>9</v>
      </c>
      <c r="C34" s="6" t="s">
        <v>8</v>
      </c>
      <c r="D34" s="6">
        <v>102</v>
      </c>
      <c r="E34" s="11">
        <v>5.3461108181998999E-2</v>
      </c>
      <c r="F34" s="9">
        <v>3.5236225760614399</v>
      </c>
      <c r="G34" s="9">
        <v>6.4106090559310001E-4</v>
      </c>
      <c r="H34" s="11">
        <f t="shared" si="0"/>
        <v>5.8035576335810912E-3</v>
      </c>
      <c r="I34" s="11">
        <f t="shared" si="1"/>
        <v>7.1909226631050593E-2</v>
      </c>
      <c r="K34" s="62" t="s">
        <v>12</v>
      </c>
      <c r="L34" s="66" t="s">
        <v>8</v>
      </c>
      <c r="M34" s="18">
        <v>8.1308625067804119E-3</v>
      </c>
      <c r="N34" s="18">
        <v>7.6062994225785108E-3</v>
      </c>
      <c r="O34" s="18">
        <v>6.7539463146371048E-3</v>
      </c>
      <c r="P34" s="25">
        <v>5.3781711207152583E-3</v>
      </c>
    </row>
    <row r="35" spans="1:16">
      <c r="A35" s="5">
        <v>9</v>
      </c>
      <c r="B35" s="5">
        <v>9</v>
      </c>
      <c r="C35" s="6" t="s">
        <v>9</v>
      </c>
      <c r="D35" s="6">
        <v>102</v>
      </c>
      <c r="E35" s="11">
        <v>5.2795312465536301E-2</v>
      </c>
      <c r="F35" s="9">
        <v>5.3448036806952803</v>
      </c>
      <c r="G35" s="9">
        <v>5.6295078096256699E-7</v>
      </c>
      <c r="H35" s="11">
        <f t="shared" si="0"/>
        <v>5.7329071450500368E-3</v>
      </c>
      <c r="I35" s="11">
        <f t="shared" si="1"/>
        <v>7.1006048360266805E-2</v>
      </c>
      <c r="K35" s="62"/>
      <c r="L35" s="65"/>
      <c r="M35" s="19">
        <f>M8</f>
        <v>2.9832000000000001</v>
      </c>
      <c r="N35" s="19">
        <f>N8</f>
        <v>3.8904999999999998</v>
      </c>
      <c r="O35" s="19">
        <f>O8</f>
        <v>4.2088000000000001</v>
      </c>
      <c r="P35" s="24">
        <f>P8</f>
        <v>3.7414999999999998</v>
      </c>
    </row>
    <row r="36" spans="1:16">
      <c r="A36" s="7">
        <v>9</v>
      </c>
      <c r="B36" s="7">
        <v>12</v>
      </c>
      <c r="C36" s="7" t="s">
        <v>7</v>
      </c>
      <c r="D36" s="7">
        <v>99</v>
      </c>
      <c r="E36" s="12">
        <v>2.18777102819817E-2</v>
      </c>
      <c r="F36" s="10">
        <v>1.2035157458768599</v>
      </c>
      <c r="G36" s="10">
        <v>0.23167597933307499</v>
      </c>
      <c r="H36" s="12">
        <f t="shared" si="0"/>
        <v>1.8051128719176468E-3</v>
      </c>
      <c r="I36" s="12">
        <f t="shared" si="1"/>
        <v>2.1877710281981599E-2</v>
      </c>
      <c r="K36" s="62" t="s">
        <v>12</v>
      </c>
      <c r="L36" s="67" t="s">
        <v>9</v>
      </c>
      <c r="M36" s="18">
        <v>7.7149407269514469E-3</v>
      </c>
      <c r="N36" s="18">
        <v>7.9663078081129157E-3</v>
      </c>
      <c r="O36" s="18">
        <v>7.2772048373723752E-3</v>
      </c>
      <c r="P36" s="25">
        <v>5.3536175221247095E-3</v>
      </c>
    </row>
    <row r="37" spans="1:16">
      <c r="A37" s="7">
        <v>9</v>
      </c>
      <c r="B37" s="7">
        <v>12</v>
      </c>
      <c r="C37" s="7" t="s">
        <v>8</v>
      </c>
      <c r="D37" s="7">
        <v>99</v>
      </c>
      <c r="E37" s="12">
        <v>5.2855007284186802E-2</v>
      </c>
      <c r="F37" s="10">
        <v>2.8146512305901399</v>
      </c>
      <c r="G37" s="10">
        <v>5.9025891099130003E-3</v>
      </c>
      <c r="H37" s="12">
        <f t="shared" si="0"/>
        <v>4.3013517701586679E-3</v>
      </c>
      <c r="I37" s="12">
        <f t="shared" si="1"/>
        <v>5.2855007284186906E-2</v>
      </c>
      <c r="K37" s="70"/>
      <c r="L37" s="71"/>
      <c r="M37" s="20">
        <f>M10</f>
        <v>3.6674000000000002</v>
      </c>
      <c r="N37" s="20">
        <f>N10</f>
        <v>7.1727999999999996</v>
      </c>
      <c r="O37" s="20">
        <f>O10</f>
        <v>8.6905999999999999</v>
      </c>
      <c r="P37" s="30">
        <f>P10</f>
        <v>7.0267999999999997</v>
      </c>
    </row>
    <row r="38" spans="1:16">
      <c r="A38" s="7">
        <v>9</v>
      </c>
      <c r="B38" s="7">
        <v>12</v>
      </c>
      <c r="C38" s="7" t="s">
        <v>9</v>
      </c>
      <c r="D38" s="7">
        <v>99</v>
      </c>
      <c r="E38" s="12">
        <v>3.0977297002205102E-2</v>
      </c>
      <c r="F38" s="10">
        <v>2.38303531630942</v>
      </c>
      <c r="G38" s="10">
        <v>1.9098752135223499E-2</v>
      </c>
      <c r="H38" s="12">
        <f t="shared" si="0"/>
        <v>2.5454996656635309E-3</v>
      </c>
      <c r="I38" s="12">
        <f t="shared" si="1"/>
        <v>3.0977297002205084E-2</v>
      </c>
      <c r="K38" s="61" t="s">
        <v>13</v>
      </c>
      <c r="L38" s="64" t="s">
        <v>7</v>
      </c>
      <c r="M38" s="18">
        <v>-4.6943858695258633E-4</v>
      </c>
      <c r="N38" s="18">
        <v>-1.0754901088527724E-3</v>
      </c>
      <c r="O38" s="18">
        <v>-5.8507409222985363E-4</v>
      </c>
      <c r="P38" s="25">
        <v>2.7830424005936827E-4</v>
      </c>
    </row>
    <row r="39" spans="1:16">
      <c r="A39" s="6">
        <v>12</v>
      </c>
      <c r="B39" s="6">
        <v>3</v>
      </c>
      <c r="C39" s="6" t="s">
        <v>7</v>
      </c>
      <c r="D39" s="6">
        <v>105</v>
      </c>
      <c r="E39" s="11">
        <v>9.6899998269260005E-4</v>
      </c>
      <c r="F39" s="9">
        <v>8.6618518938204297E-2</v>
      </c>
      <c r="G39" s="9">
        <v>0.93114129474214802</v>
      </c>
      <c r="H39" s="11">
        <f t="shared" si="0"/>
        <v>3.2289572136212641E-4</v>
      </c>
      <c r="I39" s="11">
        <f t="shared" si="1"/>
        <v>3.8816373368633084E-3</v>
      </c>
      <c r="K39" s="62"/>
      <c r="L39" s="65"/>
      <c r="M39" s="19">
        <f>M12</f>
        <v>-0.1338</v>
      </c>
      <c r="N39" s="19">
        <f>N12</f>
        <v>-0.52500000000000002</v>
      </c>
      <c r="O39" s="19">
        <f>O12</f>
        <v>-0.37209999999999999</v>
      </c>
      <c r="P39" s="24">
        <f>P12</f>
        <v>0.1978</v>
      </c>
    </row>
    <row r="40" spans="1:16">
      <c r="A40" s="6">
        <v>12</v>
      </c>
      <c r="B40" s="6">
        <v>3</v>
      </c>
      <c r="C40" s="6" t="s">
        <v>8</v>
      </c>
      <c r="D40" s="6">
        <v>105</v>
      </c>
      <c r="E40" s="11">
        <v>2.02434025655399E-2</v>
      </c>
      <c r="F40" s="9">
        <v>2.1632198381453098</v>
      </c>
      <c r="G40" s="9">
        <v>3.2814629502211499E-2</v>
      </c>
      <c r="H40" s="11">
        <f t="shared" si="0"/>
        <v>6.7027733063056427E-3</v>
      </c>
      <c r="I40" s="11">
        <f t="shared" si="1"/>
        <v>8.346573288771908E-2</v>
      </c>
      <c r="K40" s="62" t="s">
        <v>13</v>
      </c>
      <c r="L40" s="66" t="s">
        <v>8</v>
      </c>
      <c r="M40" s="18">
        <v>9.3933314033969317E-3</v>
      </c>
      <c r="N40" s="18">
        <v>8.7118750915595733E-3</v>
      </c>
      <c r="O40" s="18">
        <v>7.0617409555484567E-3</v>
      </c>
      <c r="P40" s="25">
        <v>5.3505269194409344E-3</v>
      </c>
    </row>
    <row r="41" spans="1:16">
      <c r="A41" s="5">
        <v>12</v>
      </c>
      <c r="B41" s="5">
        <v>3</v>
      </c>
      <c r="C41" s="6" t="s">
        <v>9</v>
      </c>
      <c r="D41" s="6">
        <v>105</v>
      </c>
      <c r="E41" s="11">
        <v>1.9274402582847301E-2</v>
      </c>
      <c r="F41" s="9">
        <v>2.7602697730369599</v>
      </c>
      <c r="G41" s="9">
        <v>6.8272415880491003E-3</v>
      </c>
      <c r="H41" s="11">
        <f t="shared" si="0"/>
        <v>6.3839591999350631E-3</v>
      </c>
      <c r="I41" s="11">
        <f t="shared" si="1"/>
        <v>7.9355405877421736E-2</v>
      </c>
      <c r="K41" s="62"/>
      <c r="L41" s="65"/>
      <c r="M41" s="19">
        <f>M14</f>
        <v>3.3134999999999999</v>
      </c>
      <c r="N41" s="19">
        <f>N14</f>
        <v>4.3571</v>
      </c>
      <c r="O41" s="19">
        <f>O14</f>
        <v>4.2686000000000002</v>
      </c>
      <c r="P41" s="24">
        <f>P14</f>
        <v>3.5331999999999999</v>
      </c>
    </row>
    <row r="42" spans="1:16">
      <c r="A42" s="7">
        <v>12</v>
      </c>
      <c r="B42" s="7">
        <v>6</v>
      </c>
      <c r="C42" s="7" t="s">
        <v>7</v>
      </c>
      <c r="D42" s="7">
        <v>102</v>
      </c>
      <c r="E42" s="12">
        <v>7.0849961286208003E-3</v>
      </c>
      <c r="F42" s="10">
        <v>0.51697355551415103</v>
      </c>
      <c r="G42" s="10">
        <v>0.60630487476106998</v>
      </c>
      <c r="H42" s="12">
        <f t="shared" si="0"/>
        <v>1.1773617912080869E-3</v>
      </c>
      <c r="I42" s="12">
        <f t="shared" si="1"/>
        <v>1.4220189427384122E-2</v>
      </c>
      <c r="K42" s="62" t="s">
        <v>13</v>
      </c>
      <c r="L42" s="67" t="s">
        <v>9</v>
      </c>
      <c r="M42" s="18">
        <v>9.8536473228396648E-3</v>
      </c>
      <c r="N42" s="18">
        <v>9.7363477341125826E-3</v>
      </c>
      <c r="O42" s="18">
        <v>7.6122900379147485E-3</v>
      </c>
      <c r="P42" s="25">
        <v>5.0873078352458023E-3</v>
      </c>
    </row>
    <row r="43" spans="1:16">
      <c r="A43" s="7">
        <v>12</v>
      </c>
      <c r="B43" s="7">
        <v>6</v>
      </c>
      <c r="C43" s="7" t="s">
        <v>8</v>
      </c>
      <c r="D43" s="7">
        <v>102</v>
      </c>
      <c r="E43" s="12">
        <v>3.2478935899176498E-2</v>
      </c>
      <c r="F43" s="10">
        <v>2.5712688955576701</v>
      </c>
      <c r="G43" s="10">
        <v>1.1589704932491099E-2</v>
      </c>
      <c r="H43" s="12">
        <f t="shared" si="0"/>
        <v>5.3413216956781362E-3</v>
      </c>
      <c r="I43" s="12">
        <f t="shared" si="1"/>
        <v>6.6012753075496144E-2</v>
      </c>
      <c r="K43" s="70"/>
      <c r="L43" s="71"/>
      <c r="M43" s="20">
        <f>M16</f>
        <v>4.4635999999999996</v>
      </c>
      <c r="N43" s="20">
        <f>N16</f>
        <v>8.1321999999999992</v>
      </c>
      <c r="O43" s="20">
        <f>O16</f>
        <v>8.0859000000000005</v>
      </c>
      <c r="P43" s="30">
        <f>P16</f>
        <v>5.5835999999999997</v>
      </c>
    </row>
    <row r="44" spans="1:16">
      <c r="A44" s="7">
        <v>12</v>
      </c>
      <c r="B44" s="7">
        <v>6</v>
      </c>
      <c r="C44" s="7" t="s">
        <v>9</v>
      </c>
      <c r="D44" s="7">
        <v>102</v>
      </c>
      <c r="E44" s="12">
        <v>2.5393939770555599E-2</v>
      </c>
      <c r="F44" s="10">
        <v>2.9273718404958502</v>
      </c>
      <c r="G44" s="10">
        <v>4.2239210316714999E-3</v>
      </c>
      <c r="H44" s="12">
        <f t="shared" si="0"/>
        <v>4.1882245732436374E-3</v>
      </c>
      <c r="I44" s="12">
        <f t="shared" si="1"/>
        <v>5.1432731718181746E-2</v>
      </c>
      <c r="K44" s="61" t="s">
        <v>14</v>
      </c>
      <c r="L44" s="64" t="s">
        <v>7</v>
      </c>
      <c r="M44" s="18">
        <v>-9.7973012235996748E-4</v>
      </c>
      <c r="N44" s="18">
        <v>-6.9166023694511303E-4</v>
      </c>
      <c r="O44" s="18">
        <v>7.3955420436755404E-5</v>
      </c>
      <c r="P44" s="25">
        <v>1.8051128719176468E-3</v>
      </c>
    </row>
    <row r="45" spans="1:16">
      <c r="A45" s="6">
        <v>12</v>
      </c>
      <c r="B45" s="6">
        <v>9</v>
      </c>
      <c r="C45" s="6" t="s">
        <v>7</v>
      </c>
      <c r="D45" s="6">
        <v>99</v>
      </c>
      <c r="E45" s="11">
        <v>2.1736117043418001E-2</v>
      </c>
      <c r="F45" s="9">
        <v>1.3542015136788199</v>
      </c>
      <c r="G45" s="9">
        <v>0.17878648122617199</v>
      </c>
      <c r="H45" s="11">
        <f t="shared" si="0"/>
        <v>2.3921071938923788E-3</v>
      </c>
      <c r="I45" s="11">
        <f t="shared" si="1"/>
        <v>2.908597764071863E-2</v>
      </c>
      <c r="K45" s="62"/>
      <c r="L45" s="65"/>
      <c r="M45" s="19">
        <f>M18</f>
        <v>-0.27</v>
      </c>
      <c r="N45" s="19">
        <f>N18</f>
        <v>-0.31140000000000001</v>
      </c>
      <c r="O45" s="19">
        <f>O18</f>
        <v>4.4600000000000001E-2</v>
      </c>
      <c r="P45" s="24">
        <f>P18</f>
        <v>1.2035</v>
      </c>
    </row>
    <row r="46" spans="1:16">
      <c r="A46" s="6">
        <v>12</v>
      </c>
      <c r="B46" s="6">
        <v>9</v>
      </c>
      <c r="C46" s="6" t="s">
        <v>8</v>
      </c>
      <c r="D46" s="6">
        <v>99</v>
      </c>
      <c r="E46" s="11">
        <v>4.0954342049184501E-2</v>
      </c>
      <c r="F46" s="9">
        <v>2.5897053427859702</v>
      </c>
      <c r="G46" s="9">
        <v>1.10688892491269E-2</v>
      </c>
      <c r="H46" s="11">
        <f t="shared" si="0"/>
        <v>4.4697294593440962E-3</v>
      </c>
      <c r="I46" s="11">
        <f t="shared" si="1"/>
        <v>5.4975177931223751E-2</v>
      </c>
      <c r="K46" s="62" t="s">
        <v>14</v>
      </c>
      <c r="L46" s="66" t="s">
        <v>8</v>
      </c>
      <c r="M46" s="18">
        <v>9.4846127880758857E-3</v>
      </c>
      <c r="N46" s="18">
        <v>7.551120518704213E-3</v>
      </c>
      <c r="O46" s="18">
        <v>5.8035576335810912E-3</v>
      </c>
      <c r="P46" s="25">
        <v>4.3013517701586679E-3</v>
      </c>
    </row>
    <row r="47" spans="1:16">
      <c r="A47" s="6">
        <v>12</v>
      </c>
      <c r="B47" s="6">
        <v>9</v>
      </c>
      <c r="C47" s="6" t="s">
        <v>9</v>
      </c>
      <c r="D47" s="6">
        <v>99</v>
      </c>
      <c r="E47" s="11">
        <v>1.92182250057665E-2</v>
      </c>
      <c r="F47" s="9">
        <v>1.67525449936721</v>
      </c>
      <c r="G47" s="9">
        <v>9.7072423187367404E-2</v>
      </c>
      <c r="H47" s="11">
        <f t="shared" si="0"/>
        <v>2.1173369937266262E-3</v>
      </c>
      <c r="I47" s="11">
        <f t="shared" si="1"/>
        <v>2.5706027858341196E-2</v>
      </c>
      <c r="K47" s="62"/>
      <c r="L47" s="65"/>
      <c r="M47" s="19">
        <f>M20</f>
        <v>3.2566999999999999</v>
      </c>
      <c r="N47" s="19">
        <f>N20</f>
        <v>3.8298000000000001</v>
      </c>
      <c r="O47" s="19">
        <f>O20</f>
        <v>3.5236000000000001</v>
      </c>
      <c r="P47" s="24">
        <f>P20</f>
        <v>2.8147000000000002</v>
      </c>
    </row>
    <row r="48" spans="1:16">
      <c r="A48" s="7">
        <v>12</v>
      </c>
      <c r="B48" s="7">
        <v>12</v>
      </c>
      <c r="C48" s="7" t="s">
        <v>7</v>
      </c>
      <c r="D48" s="7">
        <v>96</v>
      </c>
      <c r="E48" s="12">
        <v>5.0262621303815702E-2</v>
      </c>
      <c r="F48" s="10">
        <v>2.6859082135905998</v>
      </c>
      <c r="G48" s="10">
        <v>8.5378337734927003E-3</v>
      </c>
      <c r="H48" s="12">
        <f t="shared" si="0"/>
        <v>4.0950492623594847E-3</v>
      </c>
      <c r="I48" s="12">
        <f t="shared" si="1"/>
        <v>5.0262621303815758E-2</v>
      </c>
      <c r="K48" s="62" t="s">
        <v>14</v>
      </c>
      <c r="L48" s="67" t="s">
        <v>9</v>
      </c>
      <c r="M48" s="18">
        <v>1.044416529710035E-2</v>
      </c>
      <c r="N48" s="18">
        <v>8.2150026845630997E-3</v>
      </c>
      <c r="O48" s="18">
        <v>5.7329071450500368E-3</v>
      </c>
      <c r="P48" s="25">
        <v>2.5454996656635309E-3</v>
      </c>
    </row>
    <row r="49" spans="1:16">
      <c r="A49" s="7">
        <v>12</v>
      </c>
      <c r="B49" s="7">
        <v>12</v>
      </c>
      <c r="C49" s="7" t="s">
        <v>8</v>
      </c>
      <c r="D49" s="7">
        <v>96</v>
      </c>
      <c r="E49" s="12">
        <v>5.4815661626511102E-2</v>
      </c>
      <c r="F49" s="10">
        <v>2.8548901845133998</v>
      </c>
      <c r="G49" s="10">
        <v>5.2862897450562003E-3</v>
      </c>
      <c r="H49" s="12">
        <f t="shared" si="0"/>
        <v>4.4570719415784055E-3</v>
      </c>
      <c r="I49" s="12">
        <f t="shared" si="1"/>
        <v>5.4815661626511192E-2</v>
      </c>
      <c r="K49" s="70"/>
      <c r="L49" s="71"/>
      <c r="M49" s="20">
        <f>M22</f>
        <v>4.5004999999999997</v>
      </c>
      <c r="N49" s="20">
        <f>N22</f>
        <v>6.2243000000000004</v>
      </c>
      <c r="O49" s="20">
        <f>O22</f>
        <v>5.3448000000000002</v>
      </c>
      <c r="P49" s="30">
        <f>P22</f>
        <v>2.383</v>
      </c>
    </row>
    <row r="50" spans="1:16">
      <c r="A50" s="7">
        <v>12</v>
      </c>
      <c r="B50" s="7">
        <v>12</v>
      </c>
      <c r="C50" s="7" t="s">
        <v>9</v>
      </c>
      <c r="D50" s="7">
        <v>96</v>
      </c>
      <c r="E50" s="12">
        <v>4.5530403226952997E-3</v>
      </c>
      <c r="F50" s="10">
        <v>0.297683339796388</v>
      </c>
      <c r="G50" s="10">
        <v>0.76659487574451302</v>
      </c>
      <c r="H50" s="12">
        <f t="shared" si="0"/>
        <v>3.7863054490094861E-4</v>
      </c>
      <c r="I50" s="12">
        <f t="shared" si="1"/>
        <v>4.5530403226952121E-3</v>
      </c>
      <c r="K50" s="61" t="s">
        <v>15</v>
      </c>
      <c r="L50" s="64" t="s">
        <v>7</v>
      </c>
      <c r="M50" s="18">
        <v>3.2289572136212641E-4</v>
      </c>
      <c r="N50" s="18">
        <v>1.1773617912080869E-3</v>
      </c>
      <c r="O50" s="18">
        <v>2.3921071938923788E-3</v>
      </c>
      <c r="P50" s="25">
        <v>4.0950492623594847E-3</v>
      </c>
    </row>
    <row r="51" spans="1:16">
      <c r="K51" s="62"/>
      <c r="L51" s="65"/>
      <c r="M51" s="19">
        <f>M24</f>
        <v>8.6599999999999996E-2</v>
      </c>
      <c r="N51" s="19">
        <f>N24</f>
        <v>0.51700000000000002</v>
      </c>
      <c r="O51" s="19">
        <f>O24</f>
        <v>1.3542000000000001</v>
      </c>
      <c r="P51" s="24">
        <f>P24</f>
        <v>2.6859000000000002</v>
      </c>
    </row>
    <row r="52" spans="1:16">
      <c r="K52" s="62" t="s">
        <v>15</v>
      </c>
      <c r="L52" s="66" t="s">
        <v>8</v>
      </c>
      <c r="M52" s="18">
        <v>6.7027733063056427E-3</v>
      </c>
      <c r="N52" s="18">
        <v>5.3413216956781362E-3</v>
      </c>
      <c r="O52" s="18">
        <v>4.4697294593440962E-3</v>
      </c>
      <c r="P52" s="25">
        <v>4.4570719415784055E-3</v>
      </c>
    </row>
    <row r="53" spans="1:16">
      <c r="K53" s="62"/>
      <c r="L53" s="65"/>
      <c r="M53" s="19">
        <f>M26</f>
        <v>2.1631999999999998</v>
      </c>
      <c r="N53" s="19">
        <f>N26</f>
        <v>2.5712999999999999</v>
      </c>
      <c r="O53" s="19">
        <f>O26</f>
        <v>2.5897000000000001</v>
      </c>
      <c r="P53" s="24">
        <f>P26</f>
        <v>2.8549000000000002</v>
      </c>
    </row>
    <row r="54" spans="1:16">
      <c r="K54" s="62" t="s">
        <v>15</v>
      </c>
      <c r="L54" s="67" t="s">
        <v>9</v>
      </c>
      <c r="M54" s="18">
        <v>6.3839591999350631E-3</v>
      </c>
      <c r="N54" s="18">
        <v>4.1882245732436374E-3</v>
      </c>
      <c r="O54" s="18">
        <v>2.1173369937266262E-3</v>
      </c>
      <c r="P54" s="25">
        <v>3.7863054490094861E-4</v>
      </c>
    </row>
    <row r="55" spans="1:16">
      <c r="K55" s="63"/>
      <c r="L55" s="68"/>
      <c r="M55" s="26">
        <f>M28</f>
        <v>2.7603</v>
      </c>
      <c r="N55" s="26">
        <f>N28</f>
        <v>2.9274</v>
      </c>
      <c r="O55" s="26">
        <f>O28</f>
        <v>1.6753</v>
      </c>
      <c r="P55" s="27">
        <f>P28</f>
        <v>0.29770000000000002</v>
      </c>
    </row>
  </sheetData>
  <mergeCells count="35">
    <mergeCell ref="L17:L18"/>
    <mergeCell ref="L19:L20"/>
    <mergeCell ref="L21:L22"/>
    <mergeCell ref="K3:P3"/>
    <mergeCell ref="K30:P30"/>
    <mergeCell ref="A1:I1"/>
    <mergeCell ref="K5:K10"/>
    <mergeCell ref="L5:L6"/>
    <mergeCell ref="L7:L8"/>
    <mergeCell ref="L9:L10"/>
    <mergeCell ref="K23:K28"/>
    <mergeCell ref="L23:L24"/>
    <mergeCell ref="L25:L26"/>
    <mergeCell ref="L27:L28"/>
    <mergeCell ref="K11:K16"/>
    <mergeCell ref="L11:L12"/>
    <mergeCell ref="L13:L14"/>
    <mergeCell ref="L15:L16"/>
    <mergeCell ref="K17:K22"/>
    <mergeCell ref="K32:K37"/>
    <mergeCell ref="L32:L33"/>
    <mergeCell ref="L34:L35"/>
    <mergeCell ref="L36:L37"/>
    <mergeCell ref="K38:K43"/>
    <mergeCell ref="L38:L39"/>
    <mergeCell ref="L40:L41"/>
    <mergeCell ref="L42:L43"/>
    <mergeCell ref="K44:K49"/>
    <mergeCell ref="L44:L45"/>
    <mergeCell ref="L46:L47"/>
    <mergeCell ref="L48:L49"/>
    <mergeCell ref="K50:K55"/>
    <mergeCell ref="L50:L51"/>
    <mergeCell ref="L52:L53"/>
    <mergeCell ref="L54:L55"/>
  </mergeCells>
  <phoneticPr fontId="19" type="noConversion"/>
  <conditionalFormatting sqref="E2:E50">
    <cfRule type="cellIs" dxfId="54" priority="45" operator="lessThan">
      <formula>0</formula>
    </cfRule>
    <cfRule type="cellIs" dxfId="53" priority="46" operator="greaterThan">
      <formula>0</formula>
    </cfRule>
  </conditionalFormatting>
  <conditionalFormatting sqref="G2:G50">
    <cfRule type="cellIs" dxfId="52" priority="44" operator="lessThan">
      <formula>0.05</formula>
    </cfRule>
  </conditionalFormatting>
  <conditionalFormatting sqref="H2:I50">
    <cfRule type="cellIs" dxfId="51" priority="8" operator="lessThan">
      <formula>0</formula>
    </cfRule>
    <cfRule type="cellIs" dxfId="50" priority="9" operator="greaterThan">
      <formula>0</formula>
    </cfRule>
  </conditionalFormatting>
  <conditionalFormatting sqref="M5:P5 M7:P7 M9:P9 M11:P11 M13:P13 M15:P15 M17:P17 M19:P19 M21:P21 M23:P23 M25:P25 M27:P27">
    <cfRule type="expression" dxfId="49" priority="18">
      <formula>OR(M6&gt;1.96,M6&lt;-1.96)</formula>
    </cfRule>
  </conditionalFormatting>
  <conditionalFormatting sqref="M6:P6 M8:P8 M10:P10">
    <cfRule type="cellIs" dxfId="48" priority="17" operator="between">
      <formula>-1.96</formula>
      <formula>1.96</formula>
    </cfRule>
    <cfRule type="cellIs" dxfId="47" priority="19" operator="notBetween">
      <formula>1.96</formula>
      <formula>-1.96</formula>
    </cfRule>
  </conditionalFormatting>
  <conditionalFormatting sqref="M12:P12 M14:P14 M16:P16 M18:P18 M20:P20 M22:P22 M24:P24 M26:P26 M28:P28">
    <cfRule type="cellIs" dxfId="46" priority="15" operator="between">
      <formula>-1.96</formula>
      <formula>1.96</formula>
    </cfRule>
    <cfRule type="cellIs" dxfId="45" priority="16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44" priority="4">
      <formula>OR(M33&gt;1.96,M33&lt;-1.96)</formula>
    </cfRule>
  </conditionalFormatting>
  <conditionalFormatting sqref="M33:P33 M35:P35 M37:P37">
    <cfRule type="cellIs" dxfId="43" priority="3" operator="between">
      <formula>-1.96</formula>
      <formula>1.96</formula>
    </cfRule>
    <cfRule type="cellIs" dxfId="42" priority="5" operator="notBetween">
      <formula>1.96</formula>
      <formula>-1.96</formula>
    </cfRule>
  </conditionalFormatting>
  <conditionalFormatting sqref="M39:P39 M41:P41 M43:P43 M45:P45 M47:P47 M49:P49 M51:P51 M53:P53 M55:P55">
    <cfRule type="cellIs" dxfId="41" priority="1" operator="between">
      <formula>-1.96</formula>
      <formula>1.96</formula>
    </cfRule>
    <cfRule type="cellIs" dxfId="40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8"/>
  <sheetViews>
    <sheetView topLeftCell="D1" workbookViewId="0">
      <pane ySplit="2" topLeftCell="A3" activePane="bottomLeft" state="frozen"/>
      <selection pane="bottomLeft" activeCell="Q5" sqref="Q5:T5"/>
    </sheetView>
  </sheetViews>
  <sheetFormatPr defaultRowHeight="16.5"/>
  <cols>
    <col min="1" max="1" width="6.625" style="46" bestFit="1" customWidth="1"/>
    <col min="2" max="3" width="10.5" style="38" customWidth="1"/>
    <col min="4" max="4" width="14.625" style="38" bestFit="1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9" max="11" width="9" style="31"/>
    <col min="12" max="12" width="20.5" style="31" customWidth="1"/>
    <col min="13" max="16384" width="9" style="31"/>
  </cols>
  <sheetData>
    <row r="1" spans="1:20">
      <c r="A1" s="79" t="s">
        <v>37</v>
      </c>
      <c r="B1" s="79"/>
      <c r="C1" s="79"/>
      <c r="D1" s="79"/>
      <c r="E1" s="79"/>
      <c r="F1" s="79"/>
      <c r="G1" s="79"/>
      <c r="H1" s="79"/>
    </row>
    <row r="2" spans="1:20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20">
      <c r="A3" s="48" t="s">
        <v>28</v>
      </c>
      <c r="B3" s="38">
        <v>3</v>
      </c>
      <c r="C3" s="38">
        <v>3</v>
      </c>
      <c r="D3" s="38" t="s">
        <v>7</v>
      </c>
      <c r="E3" s="38">
        <v>114</v>
      </c>
      <c r="F3" s="39">
        <v>-4.8662151581223001E-3</v>
      </c>
      <c r="G3" s="40">
        <v>-1.47328745587749</v>
      </c>
      <c r="H3" s="41">
        <v>0.143453709284731</v>
      </c>
    </row>
    <row r="4" spans="1:20">
      <c r="A4" s="48" t="s">
        <v>28</v>
      </c>
      <c r="B4" s="38">
        <v>3</v>
      </c>
      <c r="C4" s="38">
        <v>3</v>
      </c>
      <c r="D4" s="38" t="s">
        <v>8</v>
      </c>
      <c r="E4" s="38">
        <v>114</v>
      </c>
      <c r="F4" s="39">
        <v>1.5472920831249E-3</v>
      </c>
      <c r="G4" s="40">
        <v>0.57140486643812505</v>
      </c>
      <c r="H4" s="41">
        <v>0.568860015703191</v>
      </c>
      <c r="K4" s="80" t="s">
        <v>38</v>
      </c>
      <c r="L4" s="80"/>
      <c r="M4" s="80"/>
      <c r="N4" s="80"/>
      <c r="O4" s="80"/>
      <c r="P4" s="80"/>
      <c r="Q4" s="80"/>
      <c r="R4" s="80"/>
      <c r="S4" s="80"/>
      <c r="T4" s="80"/>
    </row>
    <row r="5" spans="1:20">
      <c r="A5" s="48" t="s">
        <v>28</v>
      </c>
      <c r="B5" s="42">
        <v>3</v>
      </c>
      <c r="C5" s="42">
        <v>3</v>
      </c>
      <c r="D5" s="42" t="s">
        <v>9</v>
      </c>
      <c r="E5" s="42">
        <v>114</v>
      </c>
      <c r="F5" s="43">
        <v>6.4135072412471999E-3</v>
      </c>
      <c r="G5" s="44">
        <v>3.2134490147935799</v>
      </c>
      <c r="H5" s="45">
        <v>1.7094004119016001E-3</v>
      </c>
      <c r="K5" s="34"/>
      <c r="L5" s="35"/>
      <c r="M5" s="81" t="s">
        <v>33</v>
      </c>
      <c r="N5" s="82"/>
      <c r="O5" s="82"/>
      <c r="P5" s="83"/>
      <c r="Q5" s="84" t="s">
        <v>34</v>
      </c>
      <c r="R5" s="85"/>
      <c r="S5" s="85"/>
      <c r="T5" s="86"/>
    </row>
    <row r="6" spans="1:20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111</v>
      </c>
      <c r="F6" s="39">
        <v>-6.6140963660852002E-3</v>
      </c>
      <c r="G6" s="40">
        <v>-3.2920817435177598</v>
      </c>
      <c r="H6" s="41">
        <v>1.3374880953000001E-3</v>
      </c>
      <c r="K6" s="28" t="s">
        <v>16</v>
      </c>
      <c r="L6" s="22" t="s">
        <v>17</v>
      </c>
      <c r="M6" s="55">
        <v>3</v>
      </c>
      <c r="N6" s="55">
        <v>6</v>
      </c>
      <c r="O6" s="55">
        <v>9</v>
      </c>
      <c r="P6" s="56">
        <v>12</v>
      </c>
      <c r="Q6" s="55">
        <v>3</v>
      </c>
      <c r="R6" s="55">
        <v>6</v>
      </c>
      <c r="S6" s="55">
        <v>9</v>
      </c>
      <c r="T6" s="56">
        <v>12</v>
      </c>
    </row>
    <row r="7" spans="1:20">
      <c r="A7" s="48" t="s">
        <v>28</v>
      </c>
      <c r="B7" s="38">
        <v>3</v>
      </c>
      <c r="C7" s="38">
        <v>6</v>
      </c>
      <c r="D7" s="38" t="s">
        <v>8</v>
      </c>
      <c r="E7" s="38">
        <v>111</v>
      </c>
      <c r="F7" s="39">
        <v>-1.952148548779E-4</v>
      </c>
      <c r="G7" s="40">
        <v>-9.8385975119571797E-2</v>
      </c>
      <c r="H7" s="41">
        <v>0.92180487133631595</v>
      </c>
      <c r="K7" s="77" t="s">
        <v>12</v>
      </c>
      <c r="L7" s="76" t="s">
        <v>7</v>
      </c>
      <c r="M7" s="59">
        <v>-4.8999999999999998E-3</v>
      </c>
      <c r="N7" s="59">
        <v>-6.6E-3</v>
      </c>
      <c r="O7" s="59">
        <v>-7.1999999999999998E-3</v>
      </c>
      <c r="P7" s="60">
        <v>-7.1999999999999998E-3</v>
      </c>
      <c r="Q7" s="59">
        <v>-3.7000000000000002E-3</v>
      </c>
      <c r="R7" s="59">
        <v>-6.0000000000000001E-3</v>
      </c>
      <c r="S7" s="59">
        <v>-6.7000000000000002E-3</v>
      </c>
      <c r="T7" s="60">
        <v>-6.7000000000000002E-3</v>
      </c>
    </row>
    <row r="8" spans="1:20">
      <c r="A8" s="48" t="s">
        <v>28</v>
      </c>
      <c r="B8" s="42">
        <v>3</v>
      </c>
      <c r="C8" s="42">
        <v>6</v>
      </c>
      <c r="D8" s="42" t="s">
        <v>9</v>
      </c>
      <c r="E8" s="42">
        <v>111</v>
      </c>
      <c r="F8" s="43">
        <v>6.4188815112072002E-3</v>
      </c>
      <c r="G8" s="44">
        <v>5.7789912666815804</v>
      </c>
      <c r="H8" s="45">
        <v>7.1064266728509697E-8</v>
      </c>
      <c r="K8" s="62"/>
      <c r="L8" s="65"/>
      <c r="M8" s="49">
        <v>-1.4733000000000001</v>
      </c>
      <c r="N8" s="49">
        <v>-3.2921</v>
      </c>
      <c r="O8" s="49">
        <v>-4.9161999999999999</v>
      </c>
      <c r="P8" s="50">
        <v>-5.2118000000000002</v>
      </c>
      <c r="Q8" s="49">
        <v>-1.1039000000000001</v>
      </c>
      <c r="R8" s="49">
        <v>-2.9762</v>
      </c>
      <c r="S8" s="49">
        <v>-4.4676</v>
      </c>
      <c r="T8" s="50">
        <v>-4.8037999999999998</v>
      </c>
    </row>
    <row r="9" spans="1:20">
      <c r="A9" s="48" t="s">
        <v>28</v>
      </c>
      <c r="B9" s="38">
        <v>3</v>
      </c>
      <c r="C9" s="38">
        <v>9</v>
      </c>
      <c r="D9" s="38" t="s">
        <v>7</v>
      </c>
      <c r="E9" s="38">
        <v>108</v>
      </c>
      <c r="F9" s="39">
        <v>-7.2040238020396E-3</v>
      </c>
      <c r="G9" s="40">
        <v>-4.9161862953436897</v>
      </c>
      <c r="H9" s="41">
        <v>3.2021969963201201E-6</v>
      </c>
      <c r="K9" s="78" t="s">
        <v>12</v>
      </c>
      <c r="L9" s="66" t="s">
        <v>8</v>
      </c>
      <c r="M9" s="59">
        <v>1.5E-3</v>
      </c>
      <c r="N9" s="59">
        <v>-2.0000000000000001E-4</v>
      </c>
      <c r="O9" s="59">
        <v>-1.2999999999999999E-3</v>
      </c>
      <c r="P9" s="60">
        <v>-2.8E-3</v>
      </c>
      <c r="Q9" s="59">
        <v>2.8999999999999998E-3</v>
      </c>
      <c r="R9" s="59">
        <v>2.9999999999999997E-4</v>
      </c>
      <c r="S9" s="59">
        <v>-1E-3</v>
      </c>
      <c r="T9" s="60">
        <v>-2.7000000000000001E-3</v>
      </c>
    </row>
    <row r="10" spans="1:20">
      <c r="A10" s="48" t="s">
        <v>28</v>
      </c>
      <c r="B10" s="38">
        <v>3</v>
      </c>
      <c r="C10" s="38">
        <v>9</v>
      </c>
      <c r="D10" s="38" t="s">
        <v>8</v>
      </c>
      <c r="E10" s="38">
        <v>108</v>
      </c>
      <c r="F10" s="39">
        <v>-1.3433429897935999E-3</v>
      </c>
      <c r="G10" s="40">
        <v>-0.82930664797589004</v>
      </c>
      <c r="H10" s="41">
        <v>0.40877717344696701</v>
      </c>
      <c r="K10" s="62"/>
      <c r="L10" s="65"/>
      <c r="M10" s="49">
        <v>0.57140000000000002</v>
      </c>
      <c r="N10" s="49">
        <v>-9.8400000000000001E-2</v>
      </c>
      <c r="O10" s="49">
        <v>-0.82930000000000004</v>
      </c>
      <c r="P10" s="50">
        <v>-2.0472000000000001</v>
      </c>
      <c r="Q10" s="49">
        <v>1.046</v>
      </c>
      <c r="R10" s="49">
        <v>0.13009999999999999</v>
      </c>
      <c r="S10" s="49">
        <v>-0.628</v>
      </c>
      <c r="T10" s="50">
        <v>-1.9644999999999999</v>
      </c>
    </row>
    <row r="11" spans="1:20">
      <c r="A11" s="48" t="s">
        <v>28</v>
      </c>
      <c r="B11" s="42">
        <v>3</v>
      </c>
      <c r="C11" s="42">
        <v>9</v>
      </c>
      <c r="D11" s="42" t="s">
        <v>9</v>
      </c>
      <c r="E11" s="42">
        <v>108</v>
      </c>
      <c r="F11" s="43">
        <v>5.8606808122459997E-3</v>
      </c>
      <c r="G11" s="44">
        <v>7.1018164164968098</v>
      </c>
      <c r="H11" s="45">
        <v>1.4201298537364301E-10</v>
      </c>
      <c r="K11" s="78" t="s">
        <v>12</v>
      </c>
      <c r="L11" s="67" t="s">
        <v>9</v>
      </c>
      <c r="M11" s="59">
        <v>6.4000000000000003E-3</v>
      </c>
      <c r="N11" s="59">
        <v>6.4000000000000003E-3</v>
      </c>
      <c r="O11" s="59">
        <v>5.8999999999999999E-3</v>
      </c>
      <c r="P11" s="60">
        <v>4.4000000000000003E-3</v>
      </c>
      <c r="Q11" s="59">
        <v>6.4999999999999997E-3</v>
      </c>
      <c r="R11" s="59">
        <v>6.3E-3</v>
      </c>
      <c r="S11" s="59">
        <v>5.7000000000000002E-3</v>
      </c>
      <c r="T11" s="60">
        <v>4.0000000000000001E-3</v>
      </c>
    </row>
    <row r="12" spans="1:20">
      <c r="A12" s="48" t="s">
        <v>28</v>
      </c>
      <c r="B12" s="38">
        <v>3</v>
      </c>
      <c r="C12" s="38">
        <v>12</v>
      </c>
      <c r="D12" s="38" t="s">
        <v>7</v>
      </c>
      <c r="E12" s="38">
        <v>105</v>
      </c>
      <c r="F12" s="39">
        <v>-7.1686001962467001E-3</v>
      </c>
      <c r="G12" s="40">
        <v>-5.2117711422149702</v>
      </c>
      <c r="H12" s="41">
        <v>9.5372826211498906E-7</v>
      </c>
      <c r="K12" s="70"/>
      <c r="L12" s="71"/>
      <c r="M12" s="51">
        <v>3.2134</v>
      </c>
      <c r="N12" s="51">
        <v>5.7789999999999999</v>
      </c>
      <c r="O12" s="51">
        <v>7.1017999999999999</v>
      </c>
      <c r="P12" s="52">
        <v>5.8295000000000003</v>
      </c>
      <c r="Q12" s="51">
        <v>3.3454000000000002</v>
      </c>
      <c r="R12" s="51">
        <v>5.6403999999999996</v>
      </c>
      <c r="S12" s="51">
        <v>7.1258999999999997</v>
      </c>
      <c r="T12" s="52">
        <v>5.3818000000000001</v>
      </c>
    </row>
    <row r="13" spans="1:20">
      <c r="A13" s="48" t="s">
        <v>28</v>
      </c>
      <c r="B13" s="38">
        <v>3</v>
      </c>
      <c r="C13" s="38">
        <v>12</v>
      </c>
      <c r="D13" s="38" t="s">
        <v>8</v>
      </c>
      <c r="E13" s="38">
        <v>105</v>
      </c>
      <c r="F13" s="39">
        <v>-2.8106268625420999E-3</v>
      </c>
      <c r="G13" s="40">
        <v>-2.0472420179945101</v>
      </c>
      <c r="H13" s="41">
        <v>4.3155309502841202E-2</v>
      </c>
      <c r="K13" s="87" t="s">
        <v>13</v>
      </c>
      <c r="L13" s="64" t="s">
        <v>7</v>
      </c>
      <c r="M13" s="59">
        <v>-6.0000000000000001E-3</v>
      </c>
      <c r="N13" s="59">
        <v>-7.4999999999999997E-3</v>
      </c>
      <c r="O13" s="59">
        <v>-7.4999999999999997E-3</v>
      </c>
      <c r="P13" s="60">
        <v>-7.0000000000000001E-3</v>
      </c>
      <c r="Q13" s="59">
        <v>-5.3E-3</v>
      </c>
      <c r="R13" s="59">
        <v>-7.1000000000000004E-3</v>
      </c>
      <c r="S13" s="59">
        <v>-7.1999999999999998E-3</v>
      </c>
      <c r="T13" s="60">
        <v>-6.7000000000000002E-3</v>
      </c>
    </row>
    <row r="14" spans="1:20">
      <c r="A14" s="48" t="s">
        <v>28</v>
      </c>
      <c r="B14" s="42">
        <v>3</v>
      </c>
      <c r="C14" s="42">
        <v>12</v>
      </c>
      <c r="D14" s="42" t="s">
        <v>9</v>
      </c>
      <c r="E14" s="42">
        <v>105</v>
      </c>
      <c r="F14" s="43">
        <v>4.3579733337045998E-3</v>
      </c>
      <c r="G14" s="44">
        <v>5.8294852238401598</v>
      </c>
      <c r="H14" s="45">
        <v>6.3055965192315599E-8</v>
      </c>
      <c r="K14" s="62"/>
      <c r="L14" s="65"/>
      <c r="M14" s="49">
        <v>-1.7384999999999999</v>
      </c>
      <c r="N14" s="49">
        <v>-3.5341999999999998</v>
      </c>
      <c r="O14" s="49">
        <v>-4.6104000000000003</v>
      </c>
      <c r="P14" s="50">
        <v>-4.8128000000000002</v>
      </c>
      <c r="Q14" s="49">
        <v>-1.5466</v>
      </c>
      <c r="R14" s="49">
        <v>-3.2888999999999999</v>
      </c>
      <c r="S14" s="49">
        <v>-4.3353000000000002</v>
      </c>
      <c r="T14" s="50">
        <v>-4.5209999999999999</v>
      </c>
    </row>
    <row r="15" spans="1:20">
      <c r="A15" s="48" t="s">
        <v>28</v>
      </c>
      <c r="B15" s="38">
        <v>6</v>
      </c>
      <c r="C15" s="38">
        <v>3</v>
      </c>
      <c r="D15" s="38" t="s">
        <v>7</v>
      </c>
      <c r="E15" s="38">
        <v>111</v>
      </c>
      <c r="F15" s="39">
        <v>-6.0091887846523999E-3</v>
      </c>
      <c r="G15" s="40">
        <v>-1.73853296564348</v>
      </c>
      <c r="H15" s="41">
        <v>8.4914949444644006E-2</v>
      </c>
      <c r="K15" s="78" t="s">
        <v>13</v>
      </c>
      <c r="L15" s="66" t="s">
        <v>8</v>
      </c>
      <c r="M15" s="59">
        <v>2.8E-3</v>
      </c>
      <c r="N15" s="59">
        <v>8.0000000000000004E-4</v>
      </c>
      <c r="O15" s="59">
        <v>-1.1000000000000001E-3</v>
      </c>
      <c r="P15" s="60">
        <v>-3.0999999999999999E-3</v>
      </c>
      <c r="Q15" s="59">
        <v>3.0999999999999999E-3</v>
      </c>
      <c r="R15" s="59">
        <v>1E-3</v>
      </c>
      <c r="S15" s="59">
        <v>-1.1000000000000001E-3</v>
      </c>
      <c r="T15" s="60">
        <v>-3.0999999999999999E-3</v>
      </c>
    </row>
    <row r="16" spans="1:20">
      <c r="A16" s="48" t="s">
        <v>28</v>
      </c>
      <c r="B16" s="38">
        <v>6</v>
      </c>
      <c r="C16" s="38">
        <v>3</v>
      </c>
      <c r="D16" s="38" t="s">
        <v>8</v>
      </c>
      <c r="E16" s="38">
        <v>111</v>
      </c>
      <c r="F16" s="39">
        <v>2.7764841045169E-3</v>
      </c>
      <c r="G16" s="40">
        <v>0.97499571535396701</v>
      </c>
      <c r="H16" s="41">
        <v>0.33170165485627601</v>
      </c>
      <c r="K16" s="62"/>
      <c r="L16" s="65"/>
      <c r="M16" s="49">
        <v>0.97499999999999998</v>
      </c>
      <c r="N16" s="49">
        <v>0.39510000000000001</v>
      </c>
      <c r="O16" s="49">
        <v>-0.70499999999999996</v>
      </c>
      <c r="P16" s="50">
        <v>-2.1867000000000001</v>
      </c>
      <c r="Q16" s="49">
        <v>1.1033999999999999</v>
      </c>
      <c r="R16" s="49">
        <v>0.47789999999999999</v>
      </c>
      <c r="S16" s="49">
        <v>-0.68979999999999997</v>
      </c>
      <c r="T16" s="50">
        <v>-2.1728000000000001</v>
      </c>
    </row>
    <row r="17" spans="1:20">
      <c r="A17" s="48" t="s">
        <v>28</v>
      </c>
      <c r="B17" s="42">
        <v>6</v>
      </c>
      <c r="C17" s="42">
        <v>3</v>
      </c>
      <c r="D17" s="42" t="s">
        <v>9</v>
      </c>
      <c r="E17" s="42">
        <v>111</v>
      </c>
      <c r="F17" s="43">
        <v>8.7856728891693991E-3</v>
      </c>
      <c r="G17" s="44">
        <v>4.3062105476632704</v>
      </c>
      <c r="H17" s="45">
        <v>3.6220541577758302E-5</v>
      </c>
      <c r="K17" s="78" t="s">
        <v>13</v>
      </c>
      <c r="L17" s="67" t="s">
        <v>9</v>
      </c>
      <c r="M17" s="59">
        <v>8.8000000000000005E-3</v>
      </c>
      <c r="N17" s="59">
        <v>8.3000000000000001E-3</v>
      </c>
      <c r="O17" s="59">
        <v>6.4000000000000003E-3</v>
      </c>
      <c r="P17" s="60">
        <v>3.8999999999999998E-3</v>
      </c>
      <c r="Q17" s="59">
        <v>8.5000000000000006E-3</v>
      </c>
      <c r="R17" s="59">
        <v>8.0999999999999996E-3</v>
      </c>
      <c r="S17" s="59">
        <v>6.1000000000000004E-3</v>
      </c>
      <c r="T17" s="60">
        <v>3.5999999999999999E-3</v>
      </c>
    </row>
    <row r="18" spans="1:20">
      <c r="A18" s="48" t="s">
        <v>28</v>
      </c>
      <c r="B18" s="38">
        <v>6</v>
      </c>
      <c r="C18" s="38">
        <v>6</v>
      </c>
      <c r="D18" s="38" t="s">
        <v>7</v>
      </c>
      <c r="E18" s="38">
        <v>108</v>
      </c>
      <c r="F18" s="39">
        <v>-7.5337857822617002E-3</v>
      </c>
      <c r="G18" s="40">
        <v>-3.5342031384922201</v>
      </c>
      <c r="H18" s="41">
        <v>6.0544053427579998E-4</v>
      </c>
      <c r="K18" s="70"/>
      <c r="L18" s="71"/>
      <c r="M18" s="51">
        <v>4.3061999999999996</v>
      </c>
      <c r="N18" s="51">
        <v>7.0910000000000002</v>
      </c>
      <c r="O18" s="51">
        <v>7.0708000000000002</v>
      </c>
      <c r="P18" s="52">
        <v>4.6814</v>
      </c>
      <c r="Q18" s="51">
        <v>4.1712999999999996</v>
      </c>
      <c r="R18" s="51">
        <v>6.7024999999999997</v>
      </c>
      <c r="S18" s="51">
        <v>6.6688000000000001</v>
      </c>
      <c r="T18" s="52">
        <v>4.3292999999999999</v>
      </c>
    </row>
    <row r="19" spans="1:20">
      <c r="A19" s="48" t="s">
        <v>28</v>
      </c>
      <c r="B19" s="38">
        <v>6</v>
      </c>
      <c r="C19" s="38">
        <v>6</v>
      </c>
      <c r="D19" s="38" t="s">
        <v>8</v>
      </c>
      <c r="E19" s="38">
        <v>108</v>
      </c>
      <c r="F19" s="39">
        <v>8.0310559925869998E-4</v>
      </c>
      <c r="G19" s="40">
        <v>0.39505158264951801</v>
      </c>
      <c r="H19" s="41">
        <v>0.69359125266779798</v>
      </c>
      <c r="K19" s="87" t="s">
        <v>14</v>
      </c>
      <c r="L19" s="64" t="s">
        <v>7</v>
      </c>
      <c r="M19" s="59">
        <v>-6.6E-3</v>
      </c>
      <c r="N19" s="59">
        <v>-7.6E-3</v>
      </c>
      <c r="O19" s="59">
        <v>-7.0000000000000001E-3</v>
      </c>
      <c r="P19" s="60">
        <v>-5.7000000000000002E-3</v>
      </c>
      <c r="Q19" s="59">
        <v>-5.1999999999999998E-3</v>
      </c>
      <c r="R19" s="59">
        <v>-7.0000000000000001E-3</v>
      </c>
      <c r="S19" s="59">
        <v>-6.6E-3</v>
      </c>
      <c r="T19" s="60">
        <v>-5.0000000000000001E-3</v>
      </c>
    </row>
    <row r="20" spans="1:20">
      <c r="A20" s="48" t="s">
        <v>28</v>
      </c>
      <c r="B20" s="42">
        <v>6</v>
      </c>
      <c r="C20" s="42">
        <v>6</v>
      </c>
      <c r="D20" s="42" t="s">
        <v>9</v>
      </c>
      <c r="E20" s="42">
        <v>108</v>
      </c>
      <c r="F20" s="43">
        <v>8.3368913815205E-3</v>
      </c>
      <c r="G20" s="44">
        <v>7.09099524638488</v>
      </c>
      <c r="H20" s="45">
        <v>1.4977244088439199E-10</v>
      </c>
      <c r="K20" s="62"/>
      <c r="L20" s="65"/>
      <c r="M20" s="49">
        <v>-1.8407</v>
      </c>
      <c r="N20" s="49">
        <v>-3.2513999999999998</v>
      </c>
      <c r="O20" s="49">
        <v>-4.0723000000000003</v>
      </c>
      <c r="P20" s="50">
        <v>-3.7094999999999998</v>
      </c>
      <c r="Q20" s="49">
        <v>-1.4638</v>
      </c>
      <c r="R20" s="49">
        <v>-2.9895</v>
      </c>
      <c r="S20" s="49">
        <v>-3.7782</v>
      </c>
      <c r="T20" s="50">
        <v>-3.3292999999999999</v>
      </c>
    </row>
    <row r="21" spans="1:20">
      <c r="A21" s="48" t="s">
        <v>28</v>
      </c>
      <c r="B21" s="38">
        <v>6</v>
      </c>
      <c r="C21" s="38">
        <v>9</v>
      </c>
      <c r="D21" s="38" t="s">
        <v>7</v>
      </c>
      <c r="E21" s="38">
        <v>105</v>
      </c>
      <c r="F21" s="39">
        <v>-7.5452123449981003E-3</v>
      </c>
      <c r="G21" s="40">
        <v>-4.6103551353805496</v>
      </c>
      <c r="H21" s="41">
        <v>1.14735685426625E-5</v>
      </c>
      <c r="K21" s="78" t="s">
        <v>14</v>
      </c>
      <c r="L21" s="66" t="s">
        <v>8</v>
      </c>
      <c r="M21" s="59">
        <v>3.0000000000000001E-3</v>
      </c>
      <c r="N21" s="59">
        <v>-1E-4</v>
      </c>
      <c r="O21" s="59">
        <v>-2.3E-3</v>
      </c>
      <c r="P21" s="60">
        <v>-3.8E-3</v>
      </c>
      <c r="Q21" s="59">
        <v>4.1999999999999997E-3</v>
      </c>
      <c r="R21" s="59">
        <v>2.0000000000000001E-4</v>
      </c>
      <c r="S21" s="59">
        <v>-2.0999999999999999E-3</v>
      </c>
      <c r="T21" s="60">
        <v>-3.5999999999999999E-3</v>
      </c>
    </row>
    <row r="22" spans="1:20">
      <c r="A22" s="48" t="s">
        <v>28</v>
      </c>
      <c r="B22" s="38">
        <v>6</v>
      </c>
      <c r="C22" s="38">
        <v>9</v>
      </c>
      <c r="D22" s="38" t="s">
        <v>8</v>
      </c>
      <c r="E22" s="38">
        <v>105</v>
      </c>
      <c r="F22" s="39">
        <v>-1.1412584728686E-3</v>
      </c>
      <c r="G22" s="40">
        <v>-0.70498904353186997</v>
      </c>
      <c r="H22" s="41">
        <v>0.48239295625435002</v>
      </c>
      <c r="K22" s="62"/>
      <c r="L22" s="65"/>
      <c r="M22" s="49">
        <v>1.0115000000000001</v>
      </c>
      <c r="N22" s="49">
        <v>-4.9299999999999997E-2</v>
      </c>
      <c r="O22" s="49">
        <v>-1.4187000000000001</v>
      </c>
      <c r="P22" s="50">
        <v>-2.698</v>
      </c>
      <c r="Q22" s="49">
        <v>1.4316</v>
      </c>
      <c r="R22" s="49">
        <v>7.3700000000000002E-2</v>
      </c>
      <c r="S22" s="49">
        <v>-1.2927999999999999</v>
      </c>
      <c r="T22" s="50">
        <v>-2.5234000000000001</v>
      </c>
    </row>
    <row r="23" spans="1:20">
      <c r="A23" s="48" t="s">
        <v>28</v>
      </c>
      <c r="B23" s="42">
        <v>6</v>
      </c>
      <c r="C23" s="42">
        <v>9</v>
      </c>
      <c r="D23" s="42" t="s">
        <v>9</v>
      </c>
      <c r="E23" s="42">
        <v>105</v>
      </c>
      <c r="F23" s="43">
        <v>6.4039538721294004E-3</v>
      </c>
      <c r="G23" s="44">
        <v>7.0707509482133997</v>
      </c>
      <c r="H23" s="45">
        <v>1.8358349261151299E-10</v>
      </c>
      <c r="K23" s="78" t="s">
        <v>14</v>
      </c>
      <c r="L23" s="67" t="s">
        <v>9</v>
      </c>
      <c r="M23" s="59">
        <v>9.5999999999999992E-3</v>
      </c>
      <c r="N23" s="59">
        <v>7.4999999999999997E-3</v>
      </c>
      <c r="O23" s="59">
        <v>4.7999999999999996E-3</v>
      </c>
      <c r="P23" s="60">
        <v>1.8E-3</v>
      </c>
      <c r="Q23" s="59">
        <v>9.4000000000000004E-3</v>
      </c>
      <c r="R23" s="59">
        <v>7.1000000000000004E-3</v>
      </c>
      <c r="S23" s="59">
        <v>4.4999999999999997E-3</v>
      </c>
      <c r="T23" s="60">
        <v>1.5E-3</v>
      </c>
    </row>
    <row r="24" spans="1:20">
      <c r="A24" s="48" t="s">
        <v>28</v>
      </c>
      <c r="B24" s="38">
        <v>6</v>
      </c>
      <c r="C24" s="38">
        <v>12</v>
      </c>
      <c r="D24" s="38" t="s">
        <v>7</v>
      </c>
      <c r="E24" s="38">
        <v>102</v>
      </c>
      <c r="F24" s="39">
        <v>-7.0181080692764001E-3</v>
      </c>
      <c r="G24" s="40">
        <v>-4.8128498843934802</v>
      </c>
      <c r="H24" s="41">
        <v>5.2245189016149302E-6</v>
      </c>
      <c r="K24" s="70"/>
      <c r="L24" s="71"/>
      <c r="M24" s="51">
        <v>4.3647999999999998</v>
      </c>
      <c r="N24" s="51">
        <v>5.5510999999999999</v>
      </c>
      <c r="O24" s="51">
        <v>4.6641000000000004</v>
      </c>
      <c r="P24" s="52">
        <v>1.8965000000000001</v>
      </c>
      <c r="Q24" s="51">
        <v>4.3411</v>
      </c>
      <c r="R24" s="51">
        <v>5.2910000000000004</v>
      </c>
      <c r="S24" s="51">
        <v>4.3531000000000004</v>
      </c>
      <c r="T24" s="52">
        <v>1.5633999999999999</v>
      </c>
    </row>
    <row r="25" spans="1:20">
      <c r="A25" s="48" t="s">
        <v>28</v>
      </c>
      <c r="B25" s="38">
        <v>6</v>
      </c>
      <c r="C25" s="38">
        <v>12</v>
      </c>
      <c r="D25" s="38" t="s">
        <v>8</v>
      </c>
      <c r="E25" s="38">
        <v>102</v>
      </c>
      <c r="F25" s="39">
        <v>-3.1067964280201998E-3</v>
      </c>
      <c r="G25" s="40">
        <v>-2.1867315962656302</v>
      </c>
      <c r="H25" s="41">
        <v>3.1070421662823099E-2</v>
      </c>
      <c r="K25" s="87" t="s">
        <v>15</v>
      </c>
      <c r="L25" s="64" t="s">
        <v>7</v>
      </c>
      <c r="M25" s="59">
        <v>-5.4999999999999997E-3</v>
      </c>
      <c r="N25" s="59">
        <v>-5.8999999999999999E-3</v>
      </c>
      <c r="O25" s="59">
        <v>-4.7999999999999996E-3</v>
      </c>
      <c r="P25" s="60">
        <v>-3.3E-3</v>
      </c>
      <c r="Q25" s="59">
        <v>-4.4999999999999997E-3</v>
      </c>
      <c r="R25" s="59">
        <v>-5.4000000000000003E-3</v>
      </c>
      <c r="S25" s="59">
        <v>-4.1000000000000003E-3</v>
      </c>
      <c r="T25" s="60">
        <v>-2.8E-3</v>
      </c>
    </row>
    <row r="26" spans="1:20">
      <c r="A26" s="48" t="s">
        <v>28</v>
      </c>
      <c r="B26" s="42">
        <v>6</v>
      </c>
      <c r="C26" s="42">
        <v>12</v>
      </c>
      <c r="D26" s="42" t="s">
        <v>9</v>
      </c>
      <c r="E26" s="42">
        <v>102</v>
      </c>
      <c r="F26" s="43">
        <v>3.9113116412561001E-3</v>
      </c>
      <c r="G26" s="44">
        <v>4.6814435558956404</v>
      </c>
      <c r="H26" s="45">
        <v>8.8815856172883508E-6</v>
      </c>
      <c r="K26" s="62"/>
      <c r="L26" s="65"/>
      <c r="M26" s="49">
        <v>-1.4970000000000001</v>
      </c>
      <c r="N26" s="49">
        <v>-2.4756</v>
      </c>
      <c r="O26" s="49">
        <v>-2.6665000000000001</v>
      </c>
      <c r="P26" s="50">
        <v>-2.1755</v>
      </c>
      <c r="Q26" s="49">
        <v>-1.2311000000000001</v>
      </c>
      <c r="R26" s="49">
        <v>-2.2381000000000002</v>
      </c>
      <c r="S26" s="49">
        <v>-2.2608999999999999</v>
      </c>
      <c r="T26" s="50">
        <v>-1.8404</v>
      </c>
    </row>
    <row r="27" spans="1:20">
      <c r="A27" s="48" t="s">
        <v>28</v>
      </c>
      <c r="B27" s="38">
        <v>9</v>
      </c>
      <c r="C27" s="38">
        <v>3</v>
      </c>
      <c r="D27" s="38" t="s">
        <v>7</v>
      </c>
      <c r="E27" s="38">
        <v>108</v>
      </c>
      <c r="F27" s="39">
        <v>-6.6222714574697E-3</v>
      </c>
      <c r="G27" s="40">
        <v>-1.840694582669</v>
      </c>
      <c r="H27" s="41">
        <v>6.8437259085950095E-2</v>
      </c>
      <c r="K27" s="78" t="s">
        <v>15</v>
      </c>
      <c r="L27" s="66" t="s">
        <v>8</v>
      </c>
      <c r="M27" s="59">
        <v>4.0000000000000002E-4</v>
      </c>
      <c r="N27" s="59">
        <v>-2.0999999999999999E-3</v>
      </c>
      <c r="O27" s="59">
        <v>-3.3999999999999998E-3</v>
      </c>
      <c r="P27" s="60">
        <v>-3.5999999999999999E-3</v>
      </c>
      <c r="Q27" s="59">
        <v>1.1999999999999999E-3</v>
      </c>
      <c r="R27" s="59">
        <v>-1.6999999999999999E-3</v>
      </c>
      <c r="S27" s="59">
        <v>-3.0000000000000001E-3</v>
      </c>
      <c r="T27" s="60">
        <v>-3.3E-3</v>
      </c>
    </row>
    <row r="28" spans="1:20">
      <c r="A28" s="48" t="s">
        <v>28</v>
      </c>
      <c r="B28" s="38">
        <v>9</v>
      </c>
      <c r="C28" s="38">
        <v>3</v>
      </c>
      <c r="D28" s="38" t="s">
        <v>8</v>
      </c>
      <c r="E28" s="38">
        <v>108</v>
      </c>
      <c r="F28" s="39">
        <v>2.9684374534170001E-3</v>
      </c>
      <c r="G28" s="40">
        <v>1.01147773112368</v>
      </c>
      <c r="H28" s="41">
        <v>0.31406965533772202</v>
      </c>
      <c r="K28" s="62"/>
      <c r="L28" s="65"/>
      <c r="M28" s="49">
        <v>0.1386</v>
      </c>
      <c r="N28" s="49">
        <v>-1.0011000000000001</v>
      </c>
      <c r="O28" s="49">
        <v>-2.0407999999999999</v>
      </c>
      <c r="P28" s="50">
        <v>-2.4849999999999999</v>
      </c>
      <c r="Q28" s="49">
        <v>0.39219999999999999</v>
      </c>
      <c r="R28" s="49">
        <v>-0.78259999999999996</v>
      </c>
      <c r="S28" s="49">
        <v>-1.8411</v>
      </c>
      <c r="T28" s="50">
        <v>-2.3168000000000002</v>
      </c>
    </row>
    <row r="29" spans="1:20">
      <c r="A29" s="48" t="s">
        <v>28</v>
      </c>
      <c r="B29" s="42">
        <v>9</v>
      </c>
      <c r="C29" s="42">
        <v>3</v>
      </c>
      <c r="D29" s="42" t="s">
        <v>9</v>
      </c>
      <c r="E29" s="42">
        <v>108</v>
      </c>
      <c r="F29" s="43">
        <v>9.5907089108866993E-3</v>
      </c>
      <c r="G29" s="44">
        <v>4.3647743604896601</v>
      </c>
      <c r="H29" s="45">
        <v>2.94595701398788E-5</v>
      </c>
      <c r="K29" s="78" t="s">
        <v>15</v>
      </c>
      <c r="L29" s="67" t="s">
        <v>9</v>
      </c>
      <c r="M29" s="59">
        <v>6.0000000000000001E-3</v>
      </c>
      <c r="N29" s="59">
        <v>3.8E-3</v>
      </c>
      <c r="O29" s="59">
        <v>1.4E-3</v>
      </c>
      <c r="P29" s="60">
        <v>-2.9999999999999997E-4</v>
      </c>
      <c r="Q29" s="59">
        <v>5.7000000000000002E-3</v>
      </c>
      <c r="R29" s="59">
        <v>3.7000000000000002E-3</v>
      </c>
      <c r="S29" s="59">
        <v>1.1000000000000001E-3</v>
      </c>
      <c r="T29" s="60">
        <v>-5.0000000000000001E-4</v>
      </c>
    </row>
    <row r="30" spans="1:20">
      <c r="A30" s="48" t="s">
        <v>28</v>
      </c>
      <c r="B30" s="38">
        <v>9</v>
      </c>
      <c r="C30" s="38">
        <v>6</v>
      </c>
      <c r="D30" s="38" t="s">
        <v>7</v>
      </c>
      <c r="E30" s="38">
        <v>105</v>
      </c>
      <c r="F30" s="39">
        <v>-7.5745562550020001E-3</v>
      </c>
      <c r="G30" s="40">
        <v>-3.2514389298414601</v>
      </c>
      <c r="H30" s="41">
        <v>1.5480952856616E-3</v>
      </c>
      <c r="K30" s="63"/>
      <c r="L30" s="68"/>
      <c r="M30" s="53">
        <v>2.6898</v>
      </c>
      <c r="N30" s="53">
        <v>2.6086</v>
      </c>
      <c r="O30" s="53">
        <v>1.1773</v>
      </c>
      <c r="P30" s="54">
        <v>-0.32500000000000001</v>
      </c>
      <c r="Q30" s="53">
        <v>2.6720999999999999</v>
      </c>
      <c r="R30" s="53">
        <v>2.5606</v>
      </c>
      <c r="S30" s="53">
        <v>0.93079999999999996</v>
      </c>
      <c r="T30" s="54">
        <v>-0.4748</v>
      </c>
    </row>
    <row r="31" spans="1:20">
      <c r="A31" s="48" t="s">
        <v>28</v>
      </c>
      <c r="B31" s="38">
        <v>9</v>
      </c>
      <c r="C31" s="38">
        <v>6</v>
      </c>
      <c r="D31" s="38" t="s">
        <v>8</v>
      </c>
      <c r="E31" s="38">
        <v>105</v>
      </c>
      <c r="F31" s="39">
        <v>-9.9346823533970504E-5</v>
      </c>
      <c r="G31" s="40">
        <v>-4.9277323396138703E-2</v>
      </c>
      <c r="H31" s="41">
        <v>0.96079280362702502</v>
      </c>
    </row>
    <row r="32" spans="1:20">
      <c r="A32" s="48" t="s">
        <v>28</v>
      </c>
      <c r="B32" s="42">
        <v>9</v>
      </c>
      <c r="C32" s="42">
        <v>6</v>
      </c>
      <c r="D32" s="42" t="s">
        <v>9</v>
      </c>
      <c r="E32" s="42">
        <v>105</v>
      </c>
      <c r="F32" s="43">
        <v>7.4752094314681E-3</v>
      </c>
      <c r="G32" s="44">
        <v>5.5510834489177299</v>
      </c>
      <c r="H32" s="45">
        <v>2.1847879394204601E-7</v>
      </c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102</v>
      </c>
      <c r="F33" s="39">
        <v>-7.0331615186428002E-3</v>
      </c>
      <c r="G33" s="40">
        <v>-4.0722524108346896</v>
      </c>
      <c r="H33" s="41">
        <v>9.2704351683061903E-5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102</v>
      </c>
      <c r="F34" s="39">
        <v>-2.2701285740339E-3</v>
      </c>
      <c r="G34" s="40">
        <v>-1.4187343027480499</v>
      </c>
      <c r="H34" s="41">
        <v>0.15905500899001401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102</v>
      </c>
      <c r="F35" s="43">
        <v>4.7630329446089002E-3</v>
      </c>
      <c r="G35" s="44">
        <v>4.66410484550783</v>
      </c>
      <c r="H35" s="45">
        <v>9.5197829515549705E-6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99</v>
      </c>
      <c r="F36" s="39">
        <v>-5.6581019396447999E-3</v>
      </c>
      <c r="G36" s="40">
        <v>-3.7094615508782001</v>
      </c>
      <c r="H36" s="41">
        <v>3.4456207951590002E-4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99</v>
      </c>
      <c r="F37" s="39">
        <v>-3.8498499408391E-3</v>
      </c>
      <c r="G37" s="40">
        <v>-2.6980140389360199</v>
      </c>
      <c r="H37" s="41">
        <v>8.2145260309062999E-3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99</v>
      </c>
      <c r="F38" s="43">
        <v>1.8082519988056999E-3</v>
      </c>
      <c r="G38" s="44">
        <v>1.89645117312805</v>
      </c>
      <c r="H38" s="45">
        <v>6.0845650146432999E-2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105</v>
      </c>
      <c r="F39" s="39">
        <v>-5.5378426432344001E-3</v>
      </c>
      <c r="G39" s="40">
        <v>-1.49699512288342</v>
      </c>
      <c r="H39" s="41">
        <v>0.13742335459426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105</v>
      </c>
      <c r="F40" s="39">
        <v>4.3821290454069999E-4</v>
      </c>
      <c r="G40" s="40">
        <v>0.13860918355459401</v>
      </c>
      <c r="H40" s="41">
        <v>0.89002702375076703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105</v>
      </c>
      <c r="F41" s="43">
        <v>5.9760555477750997E-3</v>
      </c>
      <c r="G41" s="44">
        <v>2.6897658509295699</v>
      </c>
      <c r="H41" s="45">
        <v>8.3308772130914008E-3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102</v>
      </c>
      <c r="F42" s="39">
        <v>-5.9066740660241998E-3</v>
      </c>
      <c r="G42" s="40">
        <v>-2.4756262586534001</v>
      </c>
      <c r="H42" s="41">
        <v>1.4963700450468E-2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102</v>
      </c>
      <c r="F43" s="39">
        <v>-2.1392560254627001E-3</v>
      </c>
      <c r="G43" s="40">
        <v>-1.00114744165405</v>
      </c>
      <c r="H43" s="41">
        <v>0.31914807788661798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102</v>
      </c>
      <c r="F44" s="43">
        <v>3.7674180405614E-3</v>
      </c>
      <c r="G44" s="44">
        <v>2.6085572732283699</v>
      </c>
      <c r="H44" s="45">
        <v>1.0471850903173799E-2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99</v>
      </c>
      <c r="F45" s="39">
        <v>-4.8338474052105002E-3</v>
      </c>
      <c r="G45" s="40">
        <v>-2.6665255382334099</v>
      </c>
      <c r="H45" s="41">
        <v>8.9663305624885E-3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99</v>
      </c>
      <c r="F46" s="39">
        <v>-3.4461182909426998E-3</v>
      </c>
      <c r="G46" s="40">
        <v>-2.0407520009682498</v>
      </c>
      <c r="H46" s="41">
        <v>4.3964552299306001E-2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99</v>
      </c>
      <c r="F47" s="43">
        <v>1.3877291142677E-3</v>
      </c>
      <c r="G47" s="44">
        <v>1.1773054248072301</v>
      </c>
      <c r="H47" s="45">
        <v>0.24192498248451599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96</v>
      </c>
      <c r="F48" s="39">
        <v>-3.2929744939684999E-3</v>
      </c>
      <c r="G48" s="40">
        <v>-2.1754705988235101</v>
      </c>
      <c r="H48" s="41">
        <v>3.2076265746088899E-2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96</v>
      </c>
      <c r="F49" s="39">
        <v>-3.6341502623446998E-3</v>
      </c>
      <c r="G49" s="40">
        <v>-2.48502227331702</v>
      </c>
      <c r="H49" s="41">
        <v>1.4703261871143699E-2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96</v>
      </c>
      <c r="F50" s="43">
        <v>-3.4117576837609998E-4</v>
      </c>
      <c r="G50" s="44">
        <v>-0.32501906128015001</v>
      </c>
      <c r="H50" s="45">
        <v>0.74588132456720901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114</v>
      </c>
      <c r="F51" s="39">
        <v>-3.6607589805206001E-3</v>
      </c>
      <c r="G51" s="40">
        <v>-1.1039387918793699</v>
      </c>
      <c r="H51" s="41">
        <v>0.27196495174831697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114</v>
      </c>
      <c r="F52" s="39">
        <v>2.8501888887355002E-3</v>
      </c>
      <c r="G52" s="40">
        <v>1.0460397489320701</v>
      </c>
      <c r="H52" s="41">
        <v>0.29777509657746998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114</v>
      </c>
      <c r="F53" s="43">
        <v>6.5109478692561996E-3</v>
      </c>
      <c r="G53" s="44">
        <v>3.3454324948694198</v>
      </c>
      <c r="H53" s="45">
        <v>1.1156848042526001E-3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111</v>
      </c>
      <c r="F54" s="39">
        <v>-6.0497233785370003E-3</v>
      </c>
      <c r="G54" s="40">
        <v>-2.97616033075411</v>
      </c>
      <c r="H54" s="41">
        <v>3.5895643181985001E-3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111</v>
      </c>
      <c r="F55" s="39">
        <v>2.658160680885E-4</v>
      </c>
      <c r="G55" s="40">
        <v>0.13013908022342299</v>
      </c>
      <c r="H55" s="41">
        <v>0.89669407880351004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111</v>
      </c>
      <c r="F56" s="43">
        <v>6.3155394466254998E-3</v>
      </c>
      <c r="G56" s="44">
        <v>5.6404220260369096</v>
      </c>
      <c r="H56" s="45">
        <v>1.3312922316996999E-7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108</v>
      </c>
      <c r="F57" s="39">
        <v>-6.7277679756565E-3</v>
      </c>
      <c r="G57" s="40">
        <v>-4.4675898161324001</v>
      </c>
      <c r="H57" s="41">
        <v>1.9711297746923601E-5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108</v>
      </c>
      <c r="F58" s="39">
        <v>-1.0078538025538001E-3</v>
      </c>
      <c r="G58" s="40">
        <v>-0.62799554114810496</v>
      </c>
      <c r="H58" s="41">
        <v>0.53134492787874499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108</v>
      </c>
      <c r="F59" s="43">
        <v>5.7199141731027001E-3</v>
      </c>
      <c r="G59" s="44">
        <v>7.1258678819632104</v>
      </c>
      <c r="H59" s="45">
        <v>1.2616415891469401E-10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105</v>
      </c>
      <c r="F60" s="39">
        <v>-6.7244261106440004E-3</v>
      </c>
      <c r="G60" s="40">
        <v>-4.80379440613381</v>
      </c>
      <c r="H60" s="41">
        <v>5.2520552248502799E-6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105</v>
      </c>
      <c r="F61" s="39">
        <v>-2.7205671277080999E-3</v>
      </c>
      <c r="G61" s="40">
        <v>-1.96452938734557</v>
      </c>
      <c r="H61" s="41">
        <v>5.2136897317157399E-2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105</v>
      </c>
      <c r="F62" s="43">
        <v>4.0038589829358004E-3</v>
      </c>
      <c r="G62" s="44">
        <v>5.3817678477158104</v>
      </c>
      <c r="H62" s="45">
        <v>4.5848612658803002E-7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111</v>
      </c>
      <c r="F63" s="39">
        <v>-5.3398975275102002E-3</v>
      </c>
      <c r="G63" s="40">
        <v>-1.5466000906752799</v>
      </c>
      <c r="H63" s="41">
        <v>0.124831955170812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111</v>
      </c>
      <c r="F64" s="39">
        <v>3.1427039861066002E-3</v>
      </c>
      <c r="G64" s="40">
        <v>1.1033898410027201</v>
      </c>
      <c r="H64" s="41">
        <v>0.27226592245799802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111</v>
      </c>
      <c r="F65" s="43">
        <v>8.4826015136167995E-3</v>
      </c>
      <c r="G65" s="44">
        <v>4.1712700006304404</v>
      </c>
      <c r="H65" s="45">
        <v>6.0694503404814597E-5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108</v>
      </c>
      <c r="F66" s="39">
        <v>-7.1333215509568997E-3</v>
      </c>
      <c r="G66" s="40">
        <v>-3.2888901762824698</v>
      </c>
      <c r="H66" s="41">
        <v>1.3619162310905999E-3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108</v>
      </c>
      <c r="F67" s="39">
        <v>9.7448962192030002E-4</v>
      </c>
      <c r="G67" s="40">
        <v>0.47792634242852899</v>
      </c>
      <c r="H67" s="41">
        <v>0.63367757972831795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108</v>
      </c>
      <c r="F68" s="43">
        <v>8.1078111728773005E-3</v>
      </c>
      <c r="G68" s="44">
        <v>6.7024672327048904</v>
      </c>
      <c r="H68" s="45">
        <v>9.9299002825864505E-10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105</v>
      </c>
      <c r="F69" s="39">
        <v>-7.2225463340213E-3</v>
      </c>
      <c r="G69" s="40">
        <v>-4.3353495308373002</v>
      </c>
      <c r="H69" s="41">
        <v>3.3722637099465503E-5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105</v>
      </c>
      <c r="F70" s="39">
        <v>-1.1051116431887E-3</v>
      </c>
      <c r="G70" s="40">
        <v>-0.68977277884840804</v>
      </c>
      <c r="H70" s="41">
        <v>0.49187337881134902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105</v>
      </c>
      <c r="F71" s="43">
        <v>6.1174346908325003E-3</v>
      </c>
      <c r="G71" s="44">
        <v>6.6688058794649399</v>
      </c>
      <c r="H71" s="45">
        <v>1.2738321767117101E-9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102</v>
      </c>
      <c r="F72" s="39">
        <v>-6.6788170039671999E-3</v>
      </c>
      <c r="G72" s="40">
        <v>-4.5209885599291697</v>
      </c>
      <c r="H72" s="41">
        <v>1.6784649816235299E-5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102</v>
      </c>
      <c r="F73" s="39">
        <v>-3.1006219411043E-3</v>
      </c>
      <c r="G73" s="40">
        <v>-2.1728150242309101</v>
      </c>
      <c r="H73" s="41">
        <v>3.2132618472677899E-2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102</v>
      </c>
      <c r="F74" s="43">
        <v>3.5781950628628002E-3</v>
      </c>
      <c r="G74" s="44">
        <v>4.3293470960529596</v>
      </c>
      <c r="H74" s="45">
        <v>3.5286010047257399E-5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108</v>
      </c>
      <c r="F75" s="39">
        <v>-5.2423222809058999E-3</v>
      </c>
      <c r="G75" s="40">
        <v>-1.46380700722111</v>
      </c>
      <c r="H75" s="41">
        <v>0.14617834828171999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108</v>
      </c>
      <c r="F76" s="39">
        <v>4.1542467961703999E-3</v>
      </c>
      <c r="G76" s="40">
        <v>1.4315995939863599</v>
      </c>
      <c r="H76" s="41">
        <v>0.15517296294402999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108</v>
      </c>
      <c r="F77" s="43">
        <v>9.3965690770763007E-3</v>
      </c>
      <c r="G77" s="44">
        <v>4.3411206727271399</v>
      </c>
      <c r="H77" s="45">
        <v>3.2286571445421299E-5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105</v>
      </c>
      <c r="F78" s="39">
        <v>-6.9981867357411E-3</v>
      </c>
      <c r="G78" s="40">
        <v>-2.98949784483082</v>
      </c>
      <c r="H78" s="41">
        <v>3.4877710467179999E-3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105</v>
      </c>
      <c r="F79" s="39">
        <v>1.5122452891999999E-4</v>
      </c>
      <c r="G79" s="40">
        <v>7.3693125707182103E-2</v>
      </c>
      <c r="H79" s="41">
        <v>0.94139612084601498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105</v>
      </c>
      <c r="F80" s="43">
        <v>7.1494112646610999E-3</v>
      </c>
      <c r="G80" s="44">
        <v>5.2910414306198703</v>
      </c>
      <c r="H80" s="45">
        <v>6.7880997107549798E-7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102</v>
      </c>
      <c r="F81" s="39">
        <v>-6.5694607451274997E-3</v>
      </c>
      <c r="G81" s="40">
        <v>-3.7781934948675802</v>
      </c>
      <c r="H81" s="41">
        <v>2.6728454448849998E-4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102</v>
      </c>
      <c r="F82" s="39">
        <v>-2.0801007231618998E-3</v>
      </c>
      <c r="G82" s="40">
        <v>-1.2927887629302901</v>
      </c>
      <c r="H82" s="41">
        <v>0.19903366312996801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102</v>
      </c>
      <c r="F83" s="43">
        <v>4.4893600219655001E-3</v>
      </c>
      <c r="G83" s="44">
        <v>4.3530772125505104</v>
      </c>
      <c r="H83" s="45">
        <v>3.2217943814841297E-5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99</v>
      </c>
      <c r="F84" s="39">
        <v>-5.0318423110855999E-3</v>
      </c>
      <c r="G84" s="40">
        <v>-3.3292701585803801</v>
      </c>
      <c r="H84" s="41">
        <v>1.2279234808680001E-3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99</v>
      </c>
      <c r="F85" s="39">
        <v>-3.5746612432485001E-3</v>
      </c>
      <c r="G85" s="40">
        <v>-2.5233965964370499</v>
      </c>
      <c r="H85" s="41">
        <v>1.3230825071475201E-2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99</v>
      </c>
      <c r="F86" s="43">
        <v>1.457181067837E-3</v>
      </c>
      <c r="G86" s="44">
        <v>1.5633671934668401</v>
      </c>
      <c r="H86" s="45">
        <v>0.12118982627569901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105</v>
      </c>
      <c r="F87" s="39">
        <v>-4.4612017918059998E-3</v>
      </c>
      <c r="G87" s="40">
        <v>-1.2310949744612401</v>
      </c>
      <c r="H87" s="41">
        <v>0.22106416483388999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105</v>
      </c>
      <c r="F88" s="39">
        <v>1.2260517436332001E-3</v>
      </c>
      <c r="G88" s="40">
        <v>0.392237601338769</v>
      </c>
      <c r="H88" s="41">
        <v>0.69568533848495195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105</v>
      </c>
      <c r="F89" s="43">
        <v>5.6872535354393003E-3</v>
      </c>
      <c r="G89" s="44">
        <v>2.6720799571984601</v>
      </c>
      <c r="H89" s="45">
        <v>8.7524747961815006E-3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102</v>
      </c>
      <c r="F90" s="39">
        <v>-5.3949019795618003E-3</v>
      </c>
      <c r="G90" s="40">
        <v>-2.2380504221060198</v>
      </c>
      <c r="H90" s="41">
        <v>2.74134079187392E-2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102</v>
      </c>
      <c r="F91" s="39">
        <v>-1.6889385198082E-3</v>
      </c>
      <c r="G91" s="40">
        <v>-0.78255364639309999</v>
      </c>
      <c r="H91" s="41">
        <v>0.43572019753340102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102</v>
      </c>
      <c r="F92" s="43">
        <v>3.7059634597535998E-3</v>
      </c>
      <c r="G92" s="44">
        <v>2.56060143168656</v>
      </c>
      <c r="H92" s="45">
        <v>1.19286973324028E-2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99</v>
      </c>
      <c r="F93" s="39">
        <v>-4.1481733828865001E-3</v>
      </c>
      <c r="G93" s="40">
        <v>-2.2609244846299199</v>
      </c>
      <c r="H93" s="41">
        <v>2.5975132678000099E-2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99</v>
      </c>
      <c r="F94" s="39">
        <v>-3.0482671752358999E-3</v>
      </c>
      <c r="G94" s="40">
        <v>-1.8411083977742599</v>
      </c>
      <c r="H94" s="41">
        <v>6.8630880347138101E-2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99</v>
      </c>
      <c r="F95" s="43">
        <v>1.0999062076505999E-3</v>
      </c>
      <c r="G95" s="44">
        <v>0.93080624720126304</v>
      </c>
      <c r="H95" s="45">
        <v>0.35424111121372398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96</v>
      </c>
      <c r="F96" s="39">
        <v>-2.7991596210148999E-3</v>
      </c>
      <c r="G96" s="40">
        <v>-1.84041963659292</v>
      </c>
      <c r="H96" s="41">
        <v>6.8828477104795296E-2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96</v>
      </c>
      <c r="F97" s="39">
        <v>-3.2921055069167998E-3</v>
      </c>
      <c r="G97" s="40">
        <v>-2.31675559566232</v>
      </c>
      <c r="H97" s="41">
        <v>2.2665896044320798E-2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96</v>
      </c>
      <c r="F98" s="43">
        <v>-4.929458859018E-4</v>
      </c>
      <c r="G98" s="44">
        <v>-0.47481138624150998</v>
      </c>
      <c r="H98" s="45">
        <v>0.63601114555711802</v>
      </c>
    </row>
  </sheetData>
  <autoFilter ref="A2:H2">
    <sortState ref="A3:H98">
      <sortCondition ref="A2"/>
    </sortState>
  </autoFilter>
  <mergeCells count="20">
    <mergeCell ref="A1:H1"/>
    <mergeCell ref="K4:T4"/>
    <mergeCell ref="M5:P5"/>
    <mergeCell ref="Q5:T5"/>
    <mergeCell ref="K7:K12"/>
    <mergeCell ref="L7:L8"/>
    <mergeCell ref="L9:L10"/>
    <mergeCell ref="L11:L12"/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</mergeCells>
  <phoneticPr fontId="19" type="noConversion"/>
  <conditionalFormatting sqref="F2">
    <cfRule type="cellIs" dxfId="39" priority="7" operator="lessThan">
      <formula>0</formula>
    </cfRule>
    <cfRule type="cellIs" dxfId="38" priority="8" operator="greaterThan">
      <formula>0</formula>
    </cfRule>
  </conditionalFormatting>
  <conditionalFormatting sqref="H2">
    <cfRule type="cellIs" dxfId="37" priority="6" operator="lessThan">
      <formula>0.05</formula>
    </cfRule>
  </conditionalFormatting>
  <conditionalFormatting sqref="M7:T7 M9:T9 M11:T11 M13:T13 M15:T15 M17:T17 M19:T19 M21:T21 M23:T23 M25:T25 M27:T27 M29:T29">
    <cfRule type="expression" dxfId="36" priority="4">
      <formula>OR(M8&gt;1.96,M8&lt;-1.96)</formula>
    </cfRule>
  </conditionalFormatting>
  <conditionalFormatting sqref="M8:T8 M10:T10 M12:T12">
    <cfRule type="cellIs" dxfId="35" priority="3" operator="between">
      <formula>-1.96</formula>
      <formula>1.96</formula>
    </cfRule>
    <cfRule type="cellIs" dxfId="34" priority="5" operator="notBetween">
      <formula>1.96</formula>
      <formula>-1.96</formula>
    </cfRule>
  </conditionalFormatting>
  <conditionalFormatting sqref="M14:T14 M20:T20 M26:T26 M16:T16 M22:T22 M28:T28 M18:T18 M24:T24 M30:T30">
    <cfRule type="cellIs" dxfId="33" priority="1" operator="between">
      <formula>-1.96</formula>
      <formula>1.96</formula>
    </cfRule>
    <cfRule type="cellIs" dxfId="32" priority="2" operator="notBetween">
      <formula>1.96</formula>
      <formula>-1.96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P55"/>
  <sheetViews>
    <sheetView zoomScaleNormal="100" workbookViewId="0">
      <pane ySplit="2" topLeftCell="A3" activePane="bottomLeft" state="frozen"/>
      <selection activeCell="E26" sqref="E26"/>
      <selection pane="bottomLeft" activeCell="K11" sqref="K11:K16"/>
    </sheetView>
  </sheetViews>
  <sheetFormatPr defaultRowHeight="16.5"/>
  <cols>
    <col min="1" max="2" width="9.5" style="31" customWidth="1"/>
    <col min="3" max="3" width="12.5" style="31" bestFit="1" customWidth="1"/>
    <col min="4" max="4" width="6.875" style="31" bestFit="1" customWidth="1"/>
    <col min="5" max="5" width="10.5" style="31" bestFit="1" customWidth="1"/>
    <col min="6" max="6" width="10.625" style="31" bestFit="1" customWidth="1"/>
    <col min="7" max="7" width="12.875" style="31" bestFit="1" customWidth="1"/>
    <col min="8" max="9" width="15.125" style="31" customWidth="1"/>
    <col min="11" max="11" width="10.625" customWidth="1"/>
    <col min="12" max="12" width="15.625" customWidth="1"/>
    <col min="13" max="18" width="10.625" customWidth="1"/>
    <col min="19" max="19" width="15.625" customWidth="1"/>
    <col min="20" max="23" width="10.625" customWidth="1"/>
  </cols>
  <sheetData>
    <row r="1" spans="1:16">
      <c r="A1" s="69" t="s">
        <v>19</v>
      </c>
      <c r="B1" s="69"/>
      <c r="C1" s="69"/>
      <c r="D1" s="69"/>
      <c r="E1" s="69"/>
      <c r="F1" s="69"/>
      <c r="G1" s="69"/>
      <c r="H1" s="69"/>
      <c r="I1" s="69"/>
    </row>
    <row r="2" spans="1:16">
      <c r="A2" s="3" t="s">
        <v>5</v>
      </c>
      <c r="B2" s="3" t="s">
        <v>6</v>
      </c>
      <c r="C2" s="3" t="s">
        <v>0</v>
      </c>
      <c r="D2" s="3" t="s">
        <v>1</v>
      </c>
      <c r="E2" s="4" t="s">
        <v>2</v>
      </c>
      <c r="F2" s="3" t="s">
        <v>3</v>
      </c>
      <c r="G2" s="3" t="s">
        <v>4</v>
      </c>
      <c r="H2" s="4" t="s">
        <v>21</v>
      </c>
      <c r="I2" s="4" t="s">
        <v>22</v>
      </c>
    </row>
    <row r="3" spans="1:16">
      <c r="A3" s="6">
        <v>3</v>
      </c>
      <c r="B3" s="6">
        <v>3</v>
      </c>
      <c r="C3" s="6" t="s">
        <v>7</v>
      </c>
      <c r="D3" s="6">
        <v>174</v>
      </c>
      <c r="E3" s="11">
        <v>8.9648117847709995E-3</v>
      </c>
      <c r="F3" s="9">
        <v>1.1263240230215701</v>
      </c>
      <c r="G3" s="9">
        <v>0.26158835276995202</v>
      </c>
      <c r="H3" s="11">
        <f>(1 + E3)^(1 / B3) - 1</f>
        <v>2.9793850439461256E-3</v>
      </c>
      <c r="I3" s="11">
        <f>(1 + E3)^(12 / B3) - 1</f>
        <v>3.634434263070041E-2</v>
      </c>
      <c r="K3" s="80" t="s">
        <v>19</v>
      </c>
      <c r="L3" s="80"/>
      <c r="M3" s="80"/>
      <c r="N3" s="80"/>
      <c r="O3" s="80"/>
      <c r="P3" s="80"/>
    </row>
    <row r="4" spans="1:16" ht="17.25" thickBot="1">
      <c r="A4" s="6">
        <v>3</v>
      </c>
      <c r="B4" s="6">
        <v>3</v>
      </c>
      <c r="C4" s="6" t="s">
        <v>8</v>
      </c>
      <c r="D4" s="6">
        <v>174</v>
      </c>
      <c r="E4" s="11">
        <v>3.6456284904080198E-2</v>
      </c>
      <c r="F4" s="9">
        <v>4.9316087626070901</v>
      </c>
      <c r="G4" s="9">
        <v>1.9022683024534E-6</v>
      </c>
      <c r="H4" s="11">
        <f t="shared" ref="H4:H50" si="0">(1 + E4)^(1 / B4) - 1</f>
        <v>1.2007341656524728E-2</v>
      </c>
      <c r="I4" s="11">
        <f t="shared" ref="I4:I50" si="1">(1 + E4)^(12 / B4) - 1</f>
        <v>0.15399508073618318</v>
      </c>
      <c r="K4" s="28" t="s">
        <v>16</v>
      </c>
      <c r="L4" s="22" t="s">
        <v>17</v>
      </c>
      <c r="M4" s="23" t="s">
        <v>12</v>
      </c>
      <c r="N4" s="23" t="s">
        <v>13</v>
      </c>
      <c r="O4" s="23" t="s">
        <v>14</v>
      </c>
      <c r="P4" s="29" t="s">
        <v>15</v>
      </c>
    </row>
    <row r="5" spans="1:16">
      <c r="A5" s="5">
        <v>3</v>
      </c>
      <c r="B5" s="5">
        <v>3</v>
      </c>
      <c r="C5" s="6" t="s">
        <v>9</v>
      </c>
      <c r="D5" s="6">
        <v>174</v>
      </c>
      <c r="E5" s="11">
        <v>2.74914731193092E-2</v>
      </c>
      <c r="F5" s="9">
        <v>5.48900911918963</v>
      </c>
      <c r="G5" s="9">
        <v>1.41941805723813E-7</v>
      </c>
      <c r="H5" s="11">
        <f t="shared" si="0"/>
        <v>9.0811082174948599E-3</v>
      </c>
      <c r="I5" s="11">
        <f t="shared" si="1"/>
        <v>0.11458426039046654</v>
      </c>
      <c r="K5" s="75" t="s">
        <v>12</v>
      </c>
      <c r="L5" s="76" t="s">
        <v>7</v>
      </c>
      <c r="M5" s="18">
        <v>8.9999999999999993E-3</v>
      </c>
      <c r="N5" s="18">
        <v>1.9199999999999998E-2</v>
      </c>
      <c r="O5" s="18">
        <v>3.1600000000000003E-2</v>
      </c>
      <c r="P5" s="25">
        <v>5.5199999999999999E-2</v>
      </c>
    </row>
    <row r="6" spans="1:16">
      <c r="A6" s="7">
        <v>3</v>
      </c>
      <c r="B6" s="7">
        <v>6</v>
      </c>
      <c r="C6" s="7" t="s">
        <v>7</v>
      </c>
      <c r="D6" s="7">
        <v>171</v>
      </c>
      <c r="E6" s="12">
        <v>1.9186431825705601E-2</v>
      </c>
      <c r="F6" s="10">
        <v>1.9343605558016199</v>
      </c>
      <c r="G6" s="10">
        <v>5.4729223964147297E-2</v>
      </c>
      <c r="H6" s="12">
        <f t="shared" si="0"/>
        <v>3.1724705290812061E-3</v>
      </c>
      <c r="I6" s="12">
        <f t="shared" si="1"/>
        <v>3.8740982817613512E-2</v>
      </c>
      <c r="K6" s="62"/>
      <c r="L6" s="65"/>
      <c r="M6" s="19">
        <v>1.1263000000000001</v>
      </c>
      <c r="N6" s="19">
        <v>1.9343999999999999</v>
      </c>
      <c r="O6" s="19">
        <v>2.6015000000000001</v>
      </c>
      <c r="P6" s="24">
        <v>3.6215999999999999</v>
      </c>
    </row>
    <row r="7" spans="1:16">
      <c r="A7" s="7">
        <v>3</v>
      </c>
      <c r="B7" s="7">
        <v>6</v>
      </c>
      <c r="C7" s="7" t="s">
        <v>8</v>
      </c>
      <c r="D7" s="7">
        <v>171</v>
      </c>
      <c r="E7" s="12">
        <v>7.1496430351053006E-2</v>
      </c>
      <c r="F7" s="10">
        <v>6.7041206290680799</v>
      </c>
      <c r="G7" s="10">
        <v>2.8649193162989599E-10</v>
      </c>
      <c r="H7" s="12">
        <f t="shared" si="0"/>
        <v>1.1575855013642222E-2</v>
      </c>
      <c r="I7" s="12">
        <f t="shared" si="1"/>
        <v>0.14810460025504901</v>
      </c>
      <c r="K7" s="62" t="s">
        <v>12</v>
      </c>
      <c r="L7" s="66" t="s">
        <v>8</v>
      </c>
      <c r="M7" s="18">
        <v>3.6499999999999998E-2</v>
      </c>
      <c r="N7" s="18">
        <v>7.1499999999999994E-2</v>
      </c>
      <c r="O7" s="18">
        <v>9.9900000000000003E-2</v>
      </c>
      <c r="P7" s="25">
        <v>0.1195</v>
      </c>
    </row>
    <row r="8" spans="1:16">
      <c r="A8" s="2">
        <v>3</v>
      </c>
      <c r="B8" s="2">
        <v>6</v>
      </c>
      <c r="C8" s="7" t="s">
        <v>9</v>
      </c>
      <c r="D8" s="7">
        <v>171</v>
      </c>
      <c r="E8" s="12">
        <v>5.2309998525347297E-2</v>
      </c>
      <c r="F8" s="10">
        <v>8.5639548720690595</v>
      </c>
      <c r="G8" s="10">
        <v>6.3190312413867199E-15</v>
      </c>
      <c r="H8" s="12">
        <f t="shared" si="0"/>
        <v>8.5341678593591208E-3</v>
      </c>
      <c r="I8" s="12">
        <f t="shared" si="1"/>
        <v>0.10735633299641623</v>
      </c>
      <c r="K8" s="62"/>
      <c r="L8" s="65"/>
      <c r="M8" s="19">
        <v>4.9316000000000004</v>
      </c>
      <c r="N8" s="19">
        <v>6.7041000000000004</v>
      </c>
      <c r="O8" s="19">
        <v>7.7215999999999996</v>
      </c>
      <c r="P8" s="24">
        <v>7.5033000000000003</v>
      </c>
    </row>
    <row r="9" spans="1:16">
      <c r="A9" s="6">
        <v>3</v>
      </c>
      <c r="B9" s="6">
        <v>9</v>
      </c>
      <c r="C9" s="6" t="s">
        <v>7</v>
      </c>
      <c r="D9" s="6">
        <v>168</v>
      </c>
      <c r="E9" s="11">
        <v>3.1641119197947001E-2</v>
      </c>
      <c r="F9" s="9">
        <v>2.60146713298073</v>
      </c>
      <c r="G9" s="9">
        <v>1.01161296606066E-2</v>
      </c>
      <c r="H9" s="11">
        <f t="shared" si="0"/>
        <v>3.4672028751747686E-3</v>
      </c>
      <c r="I9" s="11">
        <f t="shared" si="1"/>
        <v>4.2409094969714678E-2</v>
      </c>
      <c r="K9" s="62" t="s">
        <v>12</v>
      </c>
      <c r="L9" s="67" t="s">
        <v>9</v>
      </c>
      <c r="M9" s="18">
        <v>2.75E-2</v>
      </c>
      <c r="N9" s="18">
        <v>5.2299999999999999E-2</v>
      </c>
      <c r="O9" s="18">
        <v>6.83E-2</v>
      </c>
      <c r="P9" s="25">
        <v>6.4299999999999996E-2</v>
      </c>
    </row>
    <row r="10" spans="1:16">
      <c r="A10" s="6">
        <v>3</v>
      </c>
      <c r="B10" s="6">
        <v>9</v>
      </c>
      <c r="C10" s="6" t="s">
        <v>8</v>
      </c>
      <c r="D10" s="6">
        <v>168</v>
      </c>
      <c r="E10" s="11">
        <v>9.9917898969015498E-2</v>
      </c>
      <c r="F10" s="9">
        <v>7.7215872485542496</v>
      </c>
      <c r="G10" s="9">
        <v>1.00440591326992E-12</v>
      </c>
      <c r="H10" s="11">
        <f t="shared" si="0"/>
        <v>1.0637911105977116E-2</v>
      </c>
      <c r="I10" s="11">
        <f t="shared" si="1"/>
        <v>0.13539512672539233</v>
      </c>
      <c r="K10" s="70"/>
      <c r="L10" s="71"/>
      <c r="M10" s="20">
        <v>5.4889999999999999</v>
      </c>
      <c r="N10" s="20">
        <v>8.5640000000000001</v>
      </c>
      <c r="O10" s="20">
        <v>8.8781999999999996</v>
      </c>
      <c r="P10" s="30">
        <v>7.1660000000000004</v>
      </c>
    </row>
    <row r="11" spans="1:16">
      <c r="A11" s="5">
        <v>3</v>
      </c>
      <c r="B11" s="5">
        <v>9</v>
      </c>
      <c r="C11" s="6" t="s">
        <v>9</v>
      </c>
      <c r="D11" s="6">
        <v>168</v>
      </c>
      <c r="E11" s="11">
        <v>6.8276779771068496E-2</v>
      </c>
      <c r="F11" s="9">
        <v>8.8781796101653701</v>
      </c>
      <c r="G11" s="9">
        <v>1.0271044282789199E-15</v>
      </c>
      <c r="H11" s="11">
        <f t="shared" si="0"/>
        <v>7.3655335276798795E-3</v>
      </c>
      <c r="I11" s="11">
        <f t="shared" si="1"/>
        <v>9.2056357476995254E-2</v>
      </c>
      <c r="K11" s="61" t="s">
        <v>13</v>
      </c>
      <c r="L11" s="64" t="s">
        <v>7</v>
      </c>
      <c r="M11" s="18">
        <v>8.3999999999999995E-3</v>
      </c>
      <c r="N11" s="18">
        <v>1.7999999999999999E-2</v>
      </c>
      <c r="O11" s="18">
        <v>3.6700000000000003E-2</v>
      </c>
      <c r="P11" s="25">
        <v>6.7500000000000004E-2</v>
      </c>
    </row>
    <row r="12" spans="1:16">
      <c r="A12" s="7">
        <v>3</v>
      </c>
      <c r="B12" s="7">
        <v>12</v>
      </c>
      <c r="C12" s="7" t="s">
        <v>7</v>
      </c>
      <c r="D12" s="7">
        <v>165</v>
      </c>
      <c r="E12" s="12">
        <v>5.52136466982436E-2</v>
      </c>
      <c r="F12" s="10">
        <v>3.6216418290305401</v>
      </c>
      <c r="G12" s="10">
        <v>3.8989453950000002E-4</v>
      </c>
      <c r="H12" s="12">
        <f t="shared" si="0"/>
        <v>4.4886485336241844E-3</v>
      </c>
      <c r="I12" s="12">
        <f t="shared" si="1"/>
        <v>5.5213646698243579E-2</v>
      </c>
      <c r="K12" s="62"/>
      <c r="L12" s="65"/>
      <c r="M12" s="19">
        <v>1.0175000000000001</v>
      </c>
      <c r="N12" s="19">
        <v>1.7224999999999999</v>
      </c>
      <c r="O12" s="19">
        <v>2.8769</v>
      </c>
      <c r="P12" s="24">
        <v>4.2244000000000002</v>
      </c>
    </row>
    <row r="13" spans="1:16">
      <c r="A13" s="7">
        <v>3</v>
      </c>
      <c r="B13" s="7">
        <v>12</v>
      </c>
      <c r="C13" s="7" t="s">
        <v>8</v>
      </c>
      <c r="D13" s="7">
        <v>165</v>
      </c>
      <c r="E13" s="12">
        <v>0.119470995092858</v>
      </c>
      <c r="F13" s="10">
        <v>7.50325410032573</v>
      </c>
      <c r="G13" s="10">
        <v>3.7410479353997401E-12</v>
      </c>
      <c r="H13" s="12">
        <f t="shared" si="0"/>
        <v>9.449050362625E-3</v>
      </c>
      <c r="I13" s="12">
        <f t="shared" si="1"/>
        <v>0.11947099509285808</v>
      </c>
      <c r="K13" s="62" t="s">
        <v>13</v>
      </c>
      <c r="L13" s="66" t="s">
        <v>8</v>
      </c>
      <c r="M13" s="18">
        <v>3.7699999999999997E-2</v>
      </c>
      <c r="N13" s="18">
        <v>7.46E-2</v>
      </c>
      <c r="O13" s="18">
        <v>9.9900000000000003E-2</v>
      </c>
      <c r="P13" s="25">
        <v>0.1163</v>
      </c>
    </row>
    <row r="14" spans="1:16">
      <c r="A14" s="2">
        <v>3</v>
      </c>
      <c r="B14" s="2">
        <v>12</v>
      </c>
      <c r="C14" s="7" t="s">
        <v>9</v>
      </c>
      <c r="D14" s="7">
        <v>165</v>
      </c>
      <c r="E14" s="12">
        <v>6.4257348394614999E-2</v>
      </c>
      <c r="F14" s="10">
        <v>7.1660071590778198</v>
      </c>
      <c r="G14" s="10">
        <v>2.49001927703696E-11</v>
      </c>
      <c r="H14" s="12">
        <f t="shared" si="0"/>
        <v>5.2032593845656727E-3</v>
      </c>
      <c r="I14" s="12">
        <f t="shared" si="1"/>
        <v>6.4257348394614944E-2</v>
      </c>
      <c r="K14" s="62"/>
      <c r="L14" s="65"/>
      <c r="M14" s="19">
        <v>4.8078000000000003</v>
      </c>
      <c r="N14" s="19">
        <v>6.798</v>
      </c>
      <c r="O14" s="19">
        <v>7.3400999999999996</v>
      </c>
      <c r="P14" s="24">
        <v>6.8672000000000004</v>
      </c>
    </row>
    <row r="15" spans="1:16">
      <c r="A15" s="6">
        <v>6</v>
      </c>
      <c r="B15" s="6">
        <v>3</v>
      </c>
      <c r="C15" s="6" t="s">
        <v>7</v>
      </c>
      <c r="D15" s="6">
        <v>171</v>
      </c>
      <c r="E15" s="11">
        <v>8.4379289234846992E-3</v>
      </c>
      <c r="F15" s="9">
        <v>1.0175339258929901</v>
      </c>
      <c r="G15" s="9">
        <v>0.31034543633054101</v>
      </c>
      <c r="H15" s="11">
        <f t="shared" si="0"/>
        <v>2.8047688911767565E-3</v>
      </c>
      <c r="I15" s="11">
        <f t="shared" si="1"/>
        <v>3.4181315706699911E-2</v>
      </c>
      <c r="K15" s="62" t="s">
        <v>13</v>
      </c>
      <c r="L15" s="67" t="s">
        <v>9</v>
      </c>
      <c r="M15" s="18">
        <v>2.93E-2</v>
      </c>
      <c r="N15" s="18">
        <v>5.6599999999999998E-2</v>
      </c>
      <c r="O15" s="18">
        <v>6.3200000000000006E-2</v>
      </c>
      <c r="P15" s="25">
        <v>4.8800000000000003E-2</v>
      </c>
    </row>
    <row r="16" spans="1:16">
      <c r="A16" s="6">
        <v>6</v>
      </c>
      <c r="B16" s="6">
        <v>3</v>
      </c>
      <c r="C16" s="6" t="s">
        <v>8</v>
      </c>
      <c r="D16" s="6">
        <v>171</v>
      </c>
      <c r="E16" s="11">
        <v>3.7707428187381202E-2</v>
      </c>
      <c r="F16" s="9">
        <v>4.8078185870918597</v>
      </c>
      <c r="G16" s="9">
        <v>3.3410615393527401E-6</v>
      </c>
      <c r="H16" s="11">
        <f t="shared" si="0"/>
        <v>1.2414387944889249E-2</v>
      </c>
      <c r="I16" s="11">
        <f t="shared" si="1"/>
        <v>0.15957729249865182</v>
      </c>
      <c r="K16" s="70"/>
      <c r="L16" s="71"/>
      <c r="M16" s="20">
        <v>5.3341000000000003</v>
      </c>
      <c r="N16" s="20">
        <v>8.4658999999999995</v>
      </c>
      <c r="O16" s="20">
        <v>8.2096999999999998</v>
      </c>
      <c r="P16" s="30">
        <v>5.2915000000000001</v>
      </c>
    </row>
    <row r="17" spans="1:16">
      <c r="A17" s="5">
        <v>6</v>
      </c>
      <c r="B17" s="5">
        <v>3</v>
      </c>
      <c r="C17" s="6" t="s">
        <v>9</v>
      </c>
      <c r="D17" s="6">
        <v>171</v>
      </c>
      <c r="E17" s="11">
        <v>2.9269499263896399E-2</v>
      </c>
      <c r="F17" s="9">
        <v>5.3340507392331702</v>
      </c>
      <c r="G17" s="9">
        <v>3.0290173452399399E-7</v>
      </c>
      <c r="H17" s="11">
        <f t="shared" si="0"/>
        <v>9.6628287548110592E-3</v>
      </c>
      <c r="I17" s="11">
        <f t="shared" si="1"/>
        <v>0.12231925365963225</v>
      </c>
      <c r="K17" s="61" t="s">
        <v>14</v>
      </c>
      <c r="L17" s="64" t="s">
        <v>7</v>
      </c>
      <c r="M17" s="18">
        <v>7.7000000000000002E-3</v>
      </c>
      <c r="N17" s="18">
        <v>2.35E-2</v>
      </c>
      <c r="O17" s="18">
        <v>4.8099999999999997E-2</v>
      </c>
      <c r="P17" s="25">
        <v>8.6699999999999999E-2</v>
      </c>
    </row>
    <row r="18" spans="1:16">
      <c r="A18" s="7">
        <v>6</v>
      </c>
      <c r="B18" s="7">
        <v>6</v>
      </c>
      <c r="C18" s="7" t="s">
        <v>7</v>
      </c>
      <c r="D18" s="7">
        <v>168</v>
      </c>
      <c r="E18" s="12">
        <v>1.7974680309837399E-2</v>
      </c>
      <c r="F18" s="10">
        <v>1.72249056256499</v>
      </c>
      <c r="G18" s="10">
        <v>8.6831963263847997E-2</v>
      </c>
      <c r="H18" s="12">
        <f t="shared" si="0"/>
        <v>2.9735866680946632E-3</v>
      </c>
      <c r="I18" s="12">
        <f t="shared" si="1"/>
        <v>3.6272449751915792E-2</v>
      </c>
      <c r="K18" s="62"/>
      <c r="L18" s="65"/>
      <c r="M18" s="19">
        <v>0.90290000000000004</v>
      </c>
      <c r="N18" s="19">
        <v>2.1019999999999999</v>
      </c>
      <c r="O18" s="19">
        <v>3.5855000000000001</v>
      </c>
      <c r="P18" s="24">
        <v>5.2321</v>
      </c>
    </row>
    <row r="19" spans="1:16">
      <c r="A19" s="7">
        <v>6</v>
      </c>
      <c r="B19" s="7">
        <v>6</v>
      </c>
      <c r="C19" s="7" t="s">
        <v>8</v>
      </c>
      <c r="D19" s="7">
        <v>168</v>
      </c>
      <c r="E19" s="12">
        <v>7.4604106358782701E-2</v>
      </c>
      <c r="F19" s="10">
        <v>6.7979544867414301</v>
      </c>
      <c r="G19" s="10">
        <v>1.79531156198242E-10</v>
      </c>
      <c r="H19" s="12">
        <f t="shared" si="0"/>
        <v>1.2064246397408329E-2</v>
      </c>
      <c r="I19" s="12">
        <f t="shared" si="1"/>
        <v>0.15477398540315823</v>
      </c>
      <c r="K19" s="62" t="s">
        <v>14</v>
      </c>
      <c r="L19" s="66" t="s">
        <v>8</v>
      </c>
      <c r="M19" s="18">
        <v>3.78E-2</v>
      </c>
      <c r="N19" s="18">
        <v>6.7900000000000002E-2</v>
      </c>
      <c r="O19" s="18">
        <v>8.7900000000000006E-2</v>
      </c>
      <c r="P19" s="25">
        <v>0.1011</v>
      </c>
    </row>
    <row r="20" spans="1:16">
      <c r="A20" s="2">
        <v>6</v>
      </c>
      <c r="B20" s="2">
        <v>6</v>
      </c>
      <c r="C20" s="7" t="s">
        <v>9</v>
      </c>
      <c r="D20" s="7">
        <v>168</v>
      </c>
      <c r="E20" s="12">
        <v>5.6629426048945199E-2</v>
      </c>
      <c r="F20" s="10">
        <v>8.4659287981587195</v>
      </c>
      <c r="G20" s="10">
        <v>1.24672618725531E-14</v>
      </c>
      <c r="H20" s="12">
        <f t="shared" si="0"/>
        <v>9.222947518546798E-3</v>
      </c>
      <c r="I20" s="12">
        <f t="shared" si="1"/>
        <v>0.11646574399252341</v>
      </c>
      <c r="K20" s="62"/>
      <c r="L20" s="65"/>
      <c r="M20" s="19">
        <v>4.7869000000000002</v>
      </c>
      <c r="N20" s="19">
        <v>6.3014999999999999</v>
      </c>
      <c r="O20" s="19">
        <v>6.4996</v>
      </c>
      <c r="P20" s="24">
        <v>6.0029000000000003</v>
      </c>
    </row>
    <row r="21" spans="1:16">
      <c r="A21" s="6">
        <v>6</v>
      </c>
      <c r="B21" s="6">
        <v>9</v>
      </c>
      <c r="C21" s="6" t="s">
        <v>7</v>
      </c>
      <c r="D21" s="6">
        <v>165</v>
      </c>
      <c r="E21" s="11">
        <v>3.6715853376064901E-2</v>
      </c>
      <c r="F21" s="9">
        <v>2.8769140359557701</v>
      </c>
      <c r="G21" s="9">
        <v>4.5501723022774998E-3</v>
      </c>
      <c r="H21" s="11">
        <f t="shared" si="0"/>
        <v>4.0144679626890056E-3</v>
      </c>
      <c r="I21" s="11">
        <f t="shared" si="1"/>
        <v>4.9251631179791699E-2</v>
      </c>
      <c r="K21" s="62" t="s">
        <v>14</v>
      </c>
      <c r="L21" s="67" t="s">
        <v>9</v>
      </c>
      <c r="M21" s="18">
        <v>3.0099999999999998E-2</v>
      </c>
      <c r="N21" s="18">
        <v>4.4400000000000002E-2</v>
      </c>
      <c r="O21" s="18">
        <v>3.9800000000000002E-2</v>
      </c>
      <c r="P21" s="25">
        <v>1.43E-2</v>
      </c>
    </row>
    <row r="22" spans="1:16">
      <c r="A22" s="6">
        <v>6</v>
      </c>
      <c r="B22" s="6">
        <v>9</v>
      </c>
      <c r="C22" s="6" t="s">
        <v>8</v>
      </c>
      <c r="D22" s="6">
        <v>165</v>
      </c>
      <c r="E22" s="11">
        <v>9.99378209279599E-2</v>
      </c>
      <c r="F22" s="9">
        <v>7.3401111054743398</v>
      </c>
      <c r="G22" s="9">
        <v>9.4070050806123594E-12</v>
      </c>
      <c r="H22" s="11">
        <f t="shared" si="0"/>
        <v>1.0639944967364867E-2</v>
      </c>
      <c r="I22" s="11">
        <f t="shared" si="1"/>
        <v>0.13542254618206528</v>
      </c>
      <c r="K22" s="70"/>
      <c r="L22" s="71"/>
      <c r="M22" s="20">
        <v>5.3463000000000003</v>
      </c>
      <c r="N22" s="20">
        <v>6.4966999999999997</v>
      </c>
      <c r="O22" s="20">
        <v>4.9546000000000001</v>
      </c>
      <c r="P22" s="30">
        <v>1.4471000000000001</v>
      </c>
    </row>
    <row r="23" spans="1:16">
      <c r="A23" s="5">
        <v>6</v>
      </c>
      <c r="B23" s="5">
        <v>9</v>
      </c>
      <c r="C23" s="6" t="s">
        <v>9</v>
      </c>
      <c r="D23" s="6">
        <v>165</v>
      </c>
      <c r="E23" s="11">
        <v>6.3221967551894895E-2</v>
      </c>
      <c r="F23" s="9">
        <v>8.20970817977582</v>
      </c>
      <c r="G23" s="9">
        <v>6.2382898628240195E-14</v>
      </c>
      <c r="H23" s="11">
        <f t="shared" si="0"/>
        <v>6.8347946497242518E-3</v>
      </c>
      <c r="I23" s="11">
        <f t="shared" si="1"/>
        <v>8.5172021852905733E-2</v>
      </c>
      <c r="K23" s="61" t="s">
        <v>15</v>
      </c>
      <c r="L23" s="64" t="s">
        <v>7</v>
      </c>
      <c r="M23" s="18">
        <v>1.3100000000000001E-2</v>
      </c>
      <c r="N23" s="18">
        <v>3.8399999999999997E-2</v>
      </c>
      <c r="O23" s="18">
        <v>7.0300000000000001E-2</v>
      </c>
      <c r="P23" s="25">
        <v>0.11550000000000001</v>
      </c>
    </row>
    <row r="24" spans="1:16">
      <c r="A24" s="7">
        <v>6</v>
      </c>
      <c r="B24" s="7">
        <v>12</v>
      </c>
      <c r="C24" s="7" t="s">
        <v>7</v>
      </c>
      <c r="D24" s="7">
        <v>162</v>
      </c>
      <c r="E24" s="12">
        <v>6.7474404586172002E-2</v>
      </c>
      <c r="F24" s="10">
        <v>4.2244372672928696</v>
      </c>
      <c r="G24" s="10">
        <v>3.9980728266520101E-5</v>
      </c>
      <c r="H24" s="12">
        <f t="shared" si="0"/>
        <v>5.4561214483788145E-3</v>
      </c>
      <c r="I24" s="12">
        <f t="shared" si="1"/>
        <v>6.7474404586171932E-2</v>
      </c>
      <c r="K24" s="62"/>
      <c r="L24" s="65"/>
      <c r="M24" s="19">
        <v>1.5165</v>
      </c>
      <c r="N24" s="19">
        <v>3.4033000000000002</v>
      </c>
      <c r="O24" s="19">
        <v>5.08</v>
      </c>
      <c r="P24" s="24">
        <v>6.9120999999999997</v>
      </c>
    </row>
    <row r="25" spans="1:16">
      <c r="A25" s="7">
        <v>6</v>
      </c>
      <c r="B25" s="7">
        <v>12</v>
      </c>
      <c r="C25" s="7" t="s">
        <v>8</v>
      </c>
      <c r="D25" s="7">
        <v>162</v>
      </c>
      <c r="E25" s="12">
        <v>0.116303213448917</v>
      </c>
      <c r="F25" s="10">
        <v>6.8672249591161902</v>
      </c>
      <c r="G25" s="10">
        <v>1.3499191212500499E-10</v>
      </c>
      <c r="H25" s="12">
        <f t="shared" si="0"/>
        <v>9.2107034871309335E-3</v>
      </c>
      <c r="I25" s="12">
        <f t="shared" si="1"/>
        <v>0.11630321344891703</v>
      </c>
      <c r="K25" s="62" t="s">
        <v>15</v>
      </c>
      <c r="L25" s="66" t="s">
        <v>8</v>
      </c>
      <c r="M25" s="18">
        <v>2.9899999999999999E-2</v>
      </c>
      <c r="N25" s="18">
        <v>5.6500000000000002E-2</v>
      </c>
      <c r="O25" s="18">
        <v>7.4700000000000003E-2</v>
      </c>
      <c r="P25" s="25">
        <v>9.4700000000000006E-2</v>
      </c>
    </row>
    <row r="26" spans="1:16">
      <c r="A26" s="7">
        <v>6</v>
      </c>
      <c r="B26" s="7">
        <v>12</v>
      </c>
      <c r="C26" s="7" t="s">
        <v>9</v>
      </c>
      <c r="D26" s="7">
        <v>162</v>
      </c>
      <c r="E26" s="12">
        <v>4.8828808862745099E-2</v>
      </c>
      <c r="F26" s="10">
        <v>5.2914575455384201</v>
      </c>
      <c r="G26" s="10">
        <v>3.91499784412417E-7</v>
      </c>
      <c r="H26" s="12">
        <f t="shared" si="0"/>
        <v>3.9807456617366732E-3</v>
      </c>
      <c r="I26" s="12">
        <f t="shared" si="1"/>
        <v>4.8828808862745099E-2</v>
      </c>
      <c r="K26" s="62"/>
      <c r="L26" s="65"/>
      <c r="M26" s="19">
        <v>3.657</v>
      </c>
      <c r="N26" s="19">
        <v>4.9596</v>
      </c>
      <c r="O26" s="19">
        <v>5.3826000000000001</v>
      </c>
      <c r="P26" s="24">
        <v>5.6285999999999996</v>
      </c>
    </row>
    <row r="27" spans="1:16">
      <c r="A27" s="6">
        <v>9</v>
      </c>
      <c r="B27" s="6">
        <v>3</v>
      </c>
      <c r="C27" s="6" t="s">
        <v>7</v>
      </c>
      <c r="D27" s="6">
        <v>168</v>
      </c>
      <c r="E27" s="11">
        <v>7.6819313717274998E-3</v>
      </c>
      <c r="F27" s="9">
        <v>0.90288867290754504</v>
      </c>
      <c r="G27" s="9">
        <v>0.36788545072482898</v>
      </c>
      <c r="H27" s="11">
        <f t="shared" si="0"/>
        <v>2.554114734574231E-3</v>
      </c>
      <c r="I27" s="11">
        <f t="shared" si="1"/>
        <v>3.108361469360954E-2</v>
      </c>
      <c r="K27" s="62" t="s">
        <v>15</v>
      </c>
      <c r="L27" s="67" t="s">
        <v>9</v>
      </c>
      <c r="M27" s="18">
        <v>1.67E-2</v>
      </c>
      <c r="N27" s="18">
        <v>1.8100000000000002E-2</v>
      </c>
      <c r="O27" s="18">
        <v>4.4000000000000003E-3</v>
      </c>
      <c r="P27" s="25">
        <v>-2.0799999999999999E-2</v>
      </c>
    </row>
    <row r="28" spans="1:16">
      <c r="A28" s="6">
        <v>9</v>
      </c>
      <c r="B28" s="6">
        <v>3</v>
      </c>
      <c r="C28" s="6" t="s">
        <v>8</v>
      </c>
      <c r="D28" s="6">
        <v>168</v>
      </c>
      <c r="E28" s="11">
        <v>3.77746901411476E-2</v>
      </c>
      <c r="F28" s="9">
        <v>4.7869229223350702</v>
      </c>
      <c r="G28" s="9">
        <v>3.7092939892542398E-6</v>
      </c>
      <c r="H28" s="11">
        <f t="shared" si="0"/>
        <v>1.2436261643473223E-2</v>
      </c>
      <c r="I28" s="11">
        <f t="shared" si="1"/>
        <v>0.15987796691106748</v>
      </c>
      <c r="K28" s="63"/>
      <c r="L28" s="68"/>
      <c r="M28" s="26">
        <v>2.9943</v>
      </c>
      <c r="N28" s="26">
        <v>2.4462000000000002</v>
      </c>
      <c r="O28" s="26">
        <v>0.49399999999999999</v>
      </c>
      <c r="P28" s="27">
        <v>-1.8145</v>
      </c>
    </row>
    <row r="29" spans="1:16">
      <c r="A29" s="5">
        <v>9</v>
      </c>
      <c r="B29" s="5">
        <v>3</v>
      </c>
      <c r="C29" s="6" t="s">
        <v>9</v>
      </c>
      <c r="D29" s="6">
        <v>168</v>
      </c>
      <c r="E29" s="11">
        <v>3.0092758769420101E-2</v>
      </c>
      <c r="F29" s="9">
        <v>5.3463199721099102</v>
      </c>
      <c r="G29" s="9">
        <v>2.9126413847426302E-7</v>
      </c>
      <c r="H29" s="11">
        <f t="shared" si="0"/>
        <v>9.931949396515094E-3</v>
      </c>
      <c r="I29" s="11">
        <f t="shared" si="1"/>
        <v>0.12591430481972377</v>
      </c>
    </row>
    <row r="30" spans="1:16">
      <c r="A30" s="7">
        <v>9</v>
      </c>
      <c r="B30" s="7">
        <v>6</v>
      </c>
      <c r="C30" s="7" t="s">
        <v>7</v>
      </c>
      <c r="D30" s="7">
        <v>165</v>
      </c>
      <c r="E30" s="12">
        <v>2.3520078943652899E-2</v>
      </c>
      <c r="F30" s="10">
        <v>2.1019991996714</v>
      </c>
      <c r="G30" s="10">
        <v>3.7081019747001398E-2</v>
      </c>
      <c r="H30" s="12">
        <f t="shared" si="0"/>
        <v>3.8821400345152579E-3</v>
      </c>
      <c r="I30" s="12">
        <f t="shared" si="1"/>
        <v>4.7593352000821598E-2</v>
      </c>
      <c r="K30" s="80" t="s">
        <v>26</v>
      </c>
      <c r="L30" s="80"/>
      <c r="M30" s="80"/>
      <c r="N30" s="80"/>
      <c r="O30" s="80"/>
      <c r="P30" s="80"/>
    </row>
    <row r="31" spans="1:16" ht="17.25" thickBot="1">
      <c r="A31" s="7">
        <v>9</v>
      </c>
      <c r="B31" s="7">
        <v>6</v>
      </c>
      <c r="C31" s="7" t="s">
        <v>8</v>
      </c>
      <c r="D31" s="7">
        <v>165</v>
      </c>
      <c r="E31" s="12">
        <v>6.7943234217443693E-2</v>
      </c>
      <c r="F31" s="10">
        <v>6.3015446938173802</v>
      </c>
      <c r="G31" s="10">
        <v>2.6120440978726301E-9</v>
      </c>
      <c r="H31" s="12">
        <f t="shared" si="0"/>
        <v>1.1015998765780077E-2</v>
      </c>
      <c r="I31" s="12">
        <f t="shared" si="1"/>
        <v>0.14050275151081393</v>
      </c>
      <c r="K31" s="28" t="s">
        <v>16</v>
      </c>
      <c r="L31" s="22" t="s">
        <v>17</v>
      </c>
      <c r="M31" s="23" t="s">
        <v>12</v>
      </c>
      <c r="N31" s="23" t="s">
        <v>13</v>
      </c>
      <c r="O31" s="23" t="s">
        <v>14</v>
      </c>
      <c r="P31" s="29" t="s">
        <v>15</v>
      </c>
    </row>
    <row r="32" spans="1:16">
      <c r="A32" s="2">
        <v>9</v>
      </c>
      <c r="B32" s="2">
        <v>6</v>
      </c>
      <c r="C32" s="7" t="s">
        <v>9</v>
      </c>
      <c r="D32" s="7">
        <v>165</v>
      </c>
      <c r="E32" s="12">
        <v>4.4423155273790697E-2</v>
      </c>
      <c r="F32" s="10">
        <v>6.4966843088742898</v>
      </c>
      <c r="G32" s="10">
        <v>9.3974935605754701E-10</v>
      </c>
      <c r="H32" s="12">
        <f t="shared" si="0"/>
        <v>7.2704235350067314E-3</v>
      </c>
      <c r="I32" s="12">
        <f t="shared" si="1"/>
        <v>9.0819727272060558E-2</v>
      </c>
      <c r="K32" s="75" t="s">
        <v>12</v>
      </c>
      <c r="L32" s="76" t="s">
        <v>7</v>
      </c>
      <c r="M32" s="18">
        <v>2.9793850439461256E-3</v>
      </c>
      <c r="N32" s="18">
        <v>3.1724705290812061E-3</v>
      </c>
      <c r="O32" s="18">
        <v>3.4672028751747686E-3</v>
      </c>
      <c r="P32" s="25">
        <v>4.4886485336241844E-3</v>
      </c>
    </row>
    <row r="33" spans="1:16">
      <c r="A33" s="6">
        <v>9</v>
      </c>
      <c r="B33" s="6">
        <v>9</v>
      </c>
      <c r="C33" s="6" t="s">
        <v>7</v>
      </c>
      <c r="D33" s="6">
        <v>162</v>
      </c>
      <c r="E33" s="11">
        <v>4.80529233032434E-2</v>
      </c>
      <c r="F33" s="9">
        <v>3.58554013207225</v>
      </c>
      <c r="G33" s="9">
        <v>4.4561975621069998E-4</v>
      </c>
      <c r="H33" s="11">
        <f t="shared" si="0"/>
        <v>5.2285194668884039E-3</v>
      </c>
      <c r="I33" s="11">
        <f t="shared" si="1"/>
        <v>6.4578321617005052E-2</v>
      </c>
      <c r="K33" s="62"/>
      <c r="L33" s="65"/>
      <c r="M33" s="19">
        <f>M6</f>
        <v>1.1263000000000001</v>
      </c>
      <c r="N33" s="19">
        <f>N6</f>
        <v>1.9343999999999999</v>
      </c>
      <c r="O33" s="19">
        <f>O6</f>
        <v>2.6015000000000001</v>
      </c>
      <c r="P33" s="24">
        <f>P6</f>
        <v>3.6215999999999999</v>
      </c>
    </row>
    <row r="34" spans="1:16">
      <c r="A34" s="6">
        <v>9</v>
      </c>
      <c r="B34" s="6">
        <v>9</v>
      </c>
      <c r="C34" s="6" t="s">
        <v>8</v>
      </c>
      <c r="D34" s="6">
        <v>162</v>
      </c>
      <c r="E34" s="11">
        <v>8.7852473656175295E-2</v>
      </c>
      <c r="F34" s="9">
        <v>6.4996214558833501</v>
      </c>
      <c r="G34" s="9">
        <v>9.6209596428798705E-10</v>
      </c>
      <c r="H34" s="11">
        <f t="shared" si="0"/>
        <v>9.4000774835438783E-3</v>
      </c>
      <c r="I34" s="11">
        <f t="shared" si="1"/>
        <v>0.11881944254820676</v>
      </c>
      <c r="K34" s="62" t="s">
        <v>12</v>
      </c>
      <c r="L34" s="66" t="s">
        <v>8</v>
      </c>
      <c r="M34" s="18">
        <v>1.2007341656524728E-2</v>
      </c>
      <c r="N34" s="18">
        <v>1.1575855013642222E-2</v>
      </c>
      <c r="O34" s="18">
        <v>1.0637911105977116E-2</v>
      </c>
      <c r="P34" s="25">
        <v>9.449050362625E-3</v>
      </c>
    </row>
    <row r="35" spans="1:16">
      <c r="A35" s="5">
        <v>9</v>
      </c>
      <c r="B35" s="5">
        <v>9</v>
      </c>
      <c r="C35" s="6" t="s">
        <v>9</v>
      </c>
      <c r="D35" s="6">
        <v>162</v>
      </c>
      <c r="E35" s="11">
        <v>3.9799550352931902E-2</v>
      </c>
      <c r="F35" s="9">
        <v>4.9546342084023403</v>
      </c>
      <c r="G35" s="9">
        <v>1.8186101614077301E-6</v>
      </c>
      <c r="H35" s="11">
        <f t="shared" si="0"/>
        <v>4.345855351324257E-3</v>
      </c>
      <c r="I35" s="11">
        <f t="shared" si="1"/>
        <v>5.3415005411927119E-2</v>
      </c>
      <c r="K35" s="62"/>
      <c r="L35" s="65"/>
      <c r="M35" s="19">
        <f>M8</f>
        <v>4.9316000000000004</v>
      </c>
      <c r="N35" s="19">
        <f>N8</f>
        <v>6.7041000000000004</v>
      </c>
      <c r="O35" s="19">
        <f>O8</f>
        <v>7.7215999999999996</v>
      </c>
      <c r="P35" s="24">
        <f>P8</f>
        <v>7.5033000000000003</v>
      </c>
    </row>
    <row r="36" spans="1:16">
      <c r="A36" s="7">
        <v>9</v>
      </c>
      <c r="B36" s="7">
        <v>12</v>
      </c>
      <c r="C36" s="7" t="s">
        <v>7</v>
      </c>
      <c r="D36" s="7">
        <v>159</v>
      </c>
      <c r="E36" s="12">
        <v>8.6728165900356494E-2</v>
      </c>
      <c r="F36" s="10">
        <v>5.2321085991339897</v>
      </c>
      <c r="G36" s="10">
        <v>5.2562841047714004E-7</v>
      </c>
      <c r="H36" s="12">
        <f t="shared" si="0"/>
        <v>6.9550329708059078E-3</v>
      </c>
      <c r="I36" s="12">
        <f t="shared" si="1"/>
        <v>8.672816590035648E-2</v>
      </c>
      <c r="K36" s="62" t="s">
        <v>12</v>
      </c>
      <c r="L36" s="67" t="s">
        <v>9</v>
      </c>
      <c r="M36" s="18">
        <v>9.0811082174948599E-3</v>
      </c>
      <c r="N36" s="18">
        <v>8.5341678593591208E-3</v>
      </c>
      <c r="O36" s="18">
        <v>7.3655335276798795E-3</v>
      </c>
      <c r="P36" s="25">
        <v>5.2032593845656727E-3</v>
      </c>
    </row>
    <row r="37" spans="1:16">
      <c r="A37" s="7">
        <v>9</v>
      </c>
      <c r="B37" s="7">
        <v>12</v>
      </c>
      <c r="C37" s="7" t="s">
        <v>8</v>
      </c>
      <c r="D37" s="7">
        <v>159</v>
      </c>
      <c r="E37" s="12">
        <v>0.101067171729313</v>
      </c>
      <c r="F37" s="10">
        <v>6.00294907862662</v>
      </c>
      <c r="G37" s="10">
        <v>1.28122776081498E-8</v>
      </c>
      <c r="H37" s="12">
        <f t="shared" si="0"/>
        <v>8.0555952391887509E-3</v>
      </c>
      <c r="I37" s="12">
        <f t="shared" si="1"/>
        <v>0.10106717172931301</v>
      </c>
      <c r="K37" s="70"/>
      <c r="L37" s="71"/>
      <c r="M37" s="20">
        <f>M10</f>
        <v>5.4889999999999999</v>
      </c>
      <c r="N37" s="20">
        <f>N10</f>
        <v>8.5640000000000001</v>
      </c>
      <c r="O37" s="20">
        <f>O10</f>
        <v>8.8781999999999996</v>
      </c>
      <c r="P37" s="30">
        <f>P10</f>
        <v>7.1660000000000004</v>
      </c>
    </row>
    <row r="38" spans="1:16">
      <c r="A38" s="7">
        <v>9</v>
      </c>
      <c r="B38" s="7">
        <v>12</v>
      </c>
      <c r="C38" s="7" t="s">
        <v>9</v>
      </c>
      <c r="D38" s="7">
        <v>159</v>
      </c>
      <c r="E38" s="12">
        <v>1.4339005828957E-2</v>
      </c>
      <c r="F38" s="10">
        <v>1.4470931954716999</v>
      </c>
      <c r="G38" s="10">
        <v>0.149851938526812</v>
      </c>
      <c r="H38" s="12">
        <f t="shared" si="0"/>
        <v>1.1871353020906916E-3</v>
      </c>
      <c r="I38" s="12">
        <f t="shared" si="1"/>
        <v>1.4339005828956974E-2</v>
      </c>
      <c r="K38" s="61" t="s">
        <v>13</v>
      </c>
      <c r="L38" s="64" t="s">
        <v>7</v>
      </c>
      <c r="M38" s="18">
        <v>2.8047688911767565E-3</v>
      </c>
      <c r="N38" s="18">
        <v>2.9735866680946632E-3</v>
      </c>
      <c r="O38" s="18">
        <v>4.0144679626890056E-3</v>
      </c>
      <c r="P38" s="25">
        <v>5.4561214483788145E-3</v>
      </c>
    </row>
    <row r="39" spans="1:16">
      <c r="A39" s="6">
        <v>12</v>
      </c>
      <c r="B39" s="6">
        <v>3</v>
      </c>
      <c r="C39" s="6" t="s">
        <v>7</v>
      </c>
      <c r="D39" s="6">
        <v>165</v>
      </c>
      <c r="E39" s="11">
        <v>1.31298049074151E-2</v>
      </c>
      <c r="F39" s="9">
        <v>1.5164913278365399</v>
      </c>
      <c r="G39" s="9">
        <v>0.13132032246697001</v>
      </c>
      <c r="H39" s="11">
        <f t="shared" si="0"/>
        <v>4.3575855029771571E-3</v>
      </c>
      <c r="I39" s="11">
        <f t="shared" si="1"/>
        <v>5.3562653891619627E-2</v>
      </c>
      <c r="K39" s="62"/>
      <c r="L39" s="65"/>
      <c r="M39" s="19">
        <f>M12</f>
        <v>1.0175000000000001</v>
      </c>
      <c r="N39" s="19">
        <f>N12</f>
        <v>1.7224999999999999</v>
      </c>
      <c r="O39" s="19">
        <f>O12</f>
        <v>2.8769</v>
      </c>
      <c r="P39" s="24">
        <f>P12</f>
        <v>4.2244000000000002</v>
      </c>
    </row>
    <row r="40" spans="1:16">
      <c r="A40" s="6">
        <v>12</v>
      </c>
      <c r="B40" s="6">
        <v>3</v>
      </c>
      <c r="C40" s="6" t="s">
        <v>8</v>
      </c>
      <c r="D40" s="6">
        <v>165</v>
      </c>
      <c r="E40" s="11">
        <v>2.9857804527830701E-2</v>
      </c>
      <c r="F40" s="9">
        <v>3.6570287547745699</v>
      </c>
      <c r="G40" s="9">
        <v>3.433708367096E-4</v>
      </c>
      <c r="H40" s="11">
        <f t="shared" si="0"/>
        <v>9.855158306096401E-3</v>
      </c>
      <c r="I40" s="11">
        <f t="shared" si="1"/>
        <v>0.12488741536682402</v>
      </c>
      <c r="K40" s="62" t="s">
        <v>13</v>
      </c>
      <c r="L40" s="66" t="s">
        <v>8</v>
      </c>
      <c r="M40" s="18">
        <v>1.2414387944889249E-2</v>
      </c>
      <c r="N40" s="18">
        <v>1.2064246397408329E-2</v>
      </c>
      <c r="O40" s="18">
        <v>1.0639944967364867E-2</v>
      </c>
      <c r="P40" s="25">
        <v>9.2107034871309335E-3</v>
      </c>
    </row>
    <row r="41" spans="1:16">
      <c r="A41" s="5">
        <v>12</v>
      </c>
      <c r="B41" s="5">
        <v>3</v>
      </c>
      <c r="C41" s="6" t="s">
        <v>9</v>
      </c>
      <c r="D41" s="6">
        <v>165</v>
      </c>
      <c r="E41" s="11">
        <v>1.6727999620415501E-2</v>
      </c>
      <c r="F41" s="9">
        <v>2.9943113459052402</v>
      </c>
      <c r="G41" s="9">
        <v>3.1769666558371999E-3</v>
      </c>
      <c r="H41" s="11">
        <f t="shared" si="0"/>
        <v>5.5451938617947505E-3</v>
      </c>
      <c r="I41" s="11">
        <f t="shared" si="1"/>
        <v>6.8609756327006721E-2</v>
      </c>
      <c r="K41" s="62"/>
      <c r="L41" s="65"/>
      <c r="M41" s="19">
        <f>M14</f>
        <v>4.8078000000000003</v>
      </c>
      <c r="N41" s="19">
        <f>N14</f>
        <v>6.798</v>
      </c>
      <c r="O41" s="19">
        <f>O14</f>
        <v>7.3400999999999996</v>
      </c>
      <c r="P41" s="24">
        <f>P14</f>
        <v>6.8672000000000004</v>
      </c>
    </row>
    <row r="42" spans="1:16">
      <c r="A42" s="7">
        <v>12</v>
      </c>
      <c r="B42" s="7">
        <v>6</v>
      </c>
      <c r="C42" s="7" t="s">
        <v>7</v>
      </c>
      <c r="D42" s="7">
        <v>162</v>
      </c>
      <c r="E42" s="12">
        <v>3.8367203088465397E-2</v>
      </c>
      <c r="F42" s="10">
        <v>3.40333160410874</v>
      </c>
      <c r="G42" s="10">
        <v>8.4008666486980004E-4</v>
      </c>
      <c r="H42" s="12">
        <f t="shared" si="0"/>
        <v>6.2946422455119055E-3</v>
      </c>
      <c r="I42" s="12">
        <f t="shared" si="1"/>
        <v>7.8206448449762433E-2</v>
      </c>
      <c r="K42" s="62" t="s">
        <v>13</v>
      </c>
      <c r="L42" s="67" t="s">
        <v>9</v>
      </c>
      <c r="M42" s="18">
        <v>9.6628287548110592E-3</v>
      </c>
      <c r="N42" s="18">
        <v>9.222947518546798E-3</v>
      </c>
      <c r="O42" s="18">
        <v>6.8347946497242518E-3</v>
      </c>
      <c r="P42" s="25">
        <v>3.9807456617366732E-3</v>
      </c>
    </row>
    <row r="43" spans="1:16">
      <c r="A43" s="7">
        <v>12</v>
      </c>
      <c r="B43" s="7">
        <v>6</v>
      </c>
      <c r="C43" s="7" t="s">
        <v>8</v>
      </c>
      <c r="D43" s="7">
        <v>162</v>
      </c>
      <c r="E43" s="12">
        <v>5.6452696582520397E-2</v>
      </c>
      <c r="F43" s="10">
        <v>4.9595877918061904</v>
      </c>
      <c r="G43" s="10">
        <v>1.77885432813384E-6</v>
      </c>
      <c r="H43" s="12">
        <f t="shared" si="0"/>
        <v>9.1948121635061497E-3</v>
      </c>
      <c r="I43" s="12">
        <f t="shared" si="1"/>
        <v>0.11609230011647909</v>
      </c>
      <c r="K43" s="70"/>
      <c r="L43" s="71"/>
      <c r="M43" s="20">
        <f>M16</f>
        <v>5.3341000000000003</v>
      </c>
      <c r="N43" s="20">
        <f>N16</f>
        <v>8.4658999999999995</v>
      </c>
      <c r="O43" s="20">
        <f>O16</f>
        <v>8.2096999999999998</v>
      </c>
      <c r="P43" s="30">
        <f>P16</f>
        <v>5.2915000000000001</v>
      </c>
    </row>
    <row r="44" spans="1:16">
      <c r="A44" s="7">
        <v>12</v>
      </c>
      <c r="B44" s="7">
        <v>6</v>
      </c>
      <c r="C44" s="7" t="s">
        <v>9</v>
      </c>
      <c r="D44" s="7">
        <v>162</v>
      </c>
      <c r="E44" s="12">
        <v>1.8085493494054999E-2</v>
      </c>
      <c r="F44" s="10">
        <v>2.4462001815460499</v>
      </c>
      <c r="G44" s="10">
        <v>1.55133514529078E-2</v>
      </c>
      <c r="H44" s="12">
        <f t="shared" si="0"/>
        <v>2.9917825456908798E-3</v>
      </c>
      <c r="I44" s="12">
        <f t="shared" si="1"/>
        <v>3.6498072063033682E-2</v>
      </c>
      <c r="K44" s="61" t="s">
        <v>14</v>
      </c>
      <c r="L44" s="64" t="s">
        <v>7</v>
      </c>
      <c r="M44" s="18">
        <v>2.554114734574231E-3</v>
      </c>
      <c r="N44" s="18">
        <v>3.8821400345152579E-3</v>
      </c>
      <c r="O44" s="18">
        <v>5.2285194668884039E-3</v>
      </c>
      <c r="P44" s="25">
        <v>6.9550329708059078E-3</v>
      </c>
    </row>
    <row r="45" spans="1:16">
      <c r="A45" s="6">
        <v>12</v>
      </c>
      <c r="B45" s="6">
        <v>9</v>
      </c>
      <c r="C45" s="6" t="s">
        <v>7</v>
      </c>
      <c r="D45" s="6">
        <v>159</v>
      </c>
      <c r="E45" s="11">
        <v>7.0284724153461001E-2</v>
      </c>
      <c r="F45" s="9">
        <v>5.0799503121020297</v>
      </c>
      <c r="G45" s="9">
        <v>1.0531156616157401E-6</v>
      </c>
      <c r="H45" s="11">
        <f t="shared" si="0"/>
        <v>7.5757418684838651E-3</v>
      </c>
      <c r="I45" s="11">
        <f t="shared" si="1"/>
        <v>9.4794068794873843E-2</v>
      </c>
      <c r="K45" s="62"/>
      <c r="L45" s="65"/>
      <c r="M45" s="19">
        <f>M18</f>
        <v>0.90290000000000004</v>
      </c>
      <c r="N45" s="19">
        <f>N18</f>
        <v>2.1019999999999999</v>
      </c>
      <c r="O45" s="19">
        <f>O18</f>
        <v>3.5855000000000001</v>
      </c>
      <c r="P45" s="24">
        <f>P18</f>
        <v>5.2321</v>
      </c>
    </row>
    <row r="46" spans="1:16">
      <c r="A46" s="6">
        <v>12</v>
      </c>
      <c r="B46" s="6">
        <v>9</v>
      </c>
      <c r="C46" s="6" t="s">
        <v>8</v>
      </c>
      <c r="D46" s="6">
        <v>159</v>
      </c>
      <c r="E46" s="11">
        <v>7.4728508770710106E-2</v>
      </c>
      <c r="F46" s="9">
        <v>5.3825988876026898</v>
      </c>
      <c r="G46" s="9">
        <v>2.60968075670211E-7</v>
      </c>
      <c r="H46" s="11">
        <f t="shared" si="0"/>
        <v>8.0397107025320658E-3</v>
      </c>
      <c r="I46" s="11">
        <f t="shared" si="1"/>
        <v>0.10085898766229695</v>
      </c>
      <c r="K46" s="62" t="s">
        <v>14</v>
      </c>
      <c r="L46" s="66" t="s">
        <v>8</v>
      </c>
      <c r="M46" s="18">
        <v>1.2436261643473223E-2</v>
      </c>
      <c r="N46" s="18">
        <v>1.1015998765780077E-2</v>
      </c>
      <c r="O46" s="18">
        <v>9.4000774835438783E-3</v>
      </c>
      <c r="P46" s="25">
        <v>8.0555952391887509E-3</v>
      </c>
    </row>
    <row r="47" spans="1:16">
      <c r="A47" s="6">
        <v>12</v>
      </c>
      <c r="B47" s="6">
        <v>9</v>
      </c>
      <c r="C47" s="6" t="s">
        <v>9</v>
      </c>
      <c r="D47" s="6">
        <v>159</v>
      </c>
      <c r="E47" s="11">
        <v>4.4437846172490003E-3</v>
      </c>
      <c r="F47" s="9">
        <v>0.49398430075692001</v>
      </c>
      <c r="G47" s="9">
        <v>0.62200330772961898</v>
      </c>
      <c r="H47" s="11">
        <f t="shared" si="0"/>
        <v>4.9278139466091275E-4</v>
      </c>
      <c r="I47" s="11">
        <f t="shared" si="1"/>
        <v>5.9294301023791185E-3</v>
      </c>
      <c r="K47" s="62"/>
      <c r="L47" s="65"/>
      <c r="M47" s="19">
        <f>M20</f>
        <v>4.7869000000000002</v>
      </c>
      <c r="N47" s="19">
        <f>N20</f>
        <v>6.3014999999999999</v>
      </c>
      <c r="O47" s="19">
        <f>O20</f>
        <v>6.4996</v>
      </c>
      <c r="P47" s="24">
        <f>P20</f>
        <v>6.0029000000000003</v>
      </c>
    </row>
    <row r="48" spans="1:16">
      <c r="A48" s="7">
        <v>12</v>
      </c>
      <c r="B48" s="7">
        <v>12</v>
      </c>
      <c r="C48" s="7" t="s">
        <v>7</v>
      </c>
      <c r="D48" s="7">
        <v>156</v>
      </c>
      <c r="E48" s="12">
        <v>0.115478540256632</v>
      </c>
      <c r="F48" s="10">
        <v>6.9121255981056704</v>
      </c>
      <c r="G48" s="10">
        <v>1.1697492475431901E-10</v>
      </c>
      <c r="H48" s="12">
        <f t="shared" si="0"/>
        <v>9.1485525904555498E-3</v>
      </c>
      <c r="I48" s="12">
        <f t="shared" si="1"/>
        <v>0.11547854025663207</v>
      </c>
      <c r="K48" s="62" t="s">
        <v>14</v>
      </c>
      <c r="L48" s="67" t="s">
        <v>9</v>
      </c>
      <c r="M48" s="18">
        <v>9.931949396515094E-3</v>
      </c>
      <c r="N48" s="18">
        <v>7.2704235350067314E-3</v>
      </c>
      <c r="O48" s="18">
        <v>4.345855351324257E-3</v>
      </c>
      <c r="P48" s="25">
        <v>1.1871353020906916E-3</v>
      </c>
    </row>
    <row r="49" spans="1:16">
      <c r="A49" s="7">
        <v>12</v>
      </c>
      <c r="B49" s="7">
        <v>12</v>
      </c>
      <c r="C49" s="7" t="s">
        <v>8</v>
      </c>
      <c r="D49" s="7">
        <v>156</v>
      </c>
      <c r="E49" s="12">
        <v>9.4675061827789606E-2</v>
      </c>
      <c r="F49" s="10">
        <v>5.6286221028858803</v>
      </c>
      <c r="G49" s="10">
        <v>8.2980451735021205E-8</v>
      </c>
      <c r="H49" s="12">
        <f t="shared" si="0"/>
        <v>7.5666142380717005E-3</v>
      </c>
      <c r="I49" s="12">
        <f t="shared" si="1"/>
        <v>9.4675061827789619E-2</v>
      </c>
      <c r="K49" s="70"/>
      <c r="L49" s="71"/>
      <c r="M49" s="20">
        <f>M22</f>
        <v>5.3463000000000003</v>
      </c>
      <c r="N49" s="20">
        <f>N22</f>
        <v>6.4966999999999997</v>
      </c>
      <c r="O49" s="20">
        <f>O22</f>
        <v>4.9546000000000001</v>
      </c>
      <c r="P49" s="30">
        <f>P22</f>
        <v>1.4471000000000001</v>
      </c>
    </row>
    <row r="50" spans="1:16">
      <c r="A50" s="7">
        <v>12</v>
      </c>
      <c r="B50" s="7">
        <v>12</v>
      </c>
      <c r="C50" s="7" t="s">
        <v>9</v>
      </c>
      <c r="D50" s="7">
        <v>156</v>
      </c>
      <c r="E50" s="12">
        <v>-2.08034784288425E-2</v>
      </c>
      <c r="F50" s="10">
        <v>-1.81445962311346</v>
      </c>
      <c r="G50" s="10">
        <v>7.1540648232988696E-2</v>
      </c>
      <c r="H50" s="12">
        <f t="shared" si="0"/>
        <v>-1.7503762637918197E-3</v>
      </c>
      <c r="I50" s="12">
        <f t="shared" si="1"/>
        <v>-2.0803478428842448E-2</v>
      </c>
      <c r="K50" s="61" t="s">
        <v>15</v>
      </c>
      <c r="L50" s="64" t="s">
        <v>7</v>
      </c>
      <c r="M50" s="18">
        <v>4.3575855029771571E-3</v>
      </c>
      <c r="N50" s="18">
        <v>6.2946422455119055E-3</v>
      </c>
      <c r="O50" s="18">
        <v>7.5757418684838651E-3</v>
      </c>
      <c r="P50" s="25">
        <v>9.1485525904555498E-3</v>
      </c>
    </row>
    <row r="51" spans="1:16">
      <c r="K51" s="62"/>
      <c r="L51" s="65"/>
      <c r="M51" s="19">
        <f>M24</f>
        <v>1.5165</v>
      </c>
      <c r="N51" s="19">
        <f>N24</f>
        <v>3.4033000000000002</v>
      </c>
      <c r="O51" s="19">
        <f>O24</f>
        <v>5.08</v>
      </c>
      <c r="P51" s="24">
        <f>P24</f>
        <v>6.9120999999999997</v>
      </c>
    </row>
    <row r="52" spans="1:16">
      <c r="K52" s="62" t="s">
        <v>15</v>
      </c>
      <c r="L52" s="66" t="s">
        <v>8</v>
      </c>
      <c r="M52" s="18">
        <v>9.855158306096401E-3</v>
      </c>
      <c r="N52" s="18">
        <v>9.1948121635061497E-3</v>
      </c>
      <c r="O52" s="18">
        <v>8.0397107025320658E-3</v>
      </c>
      <c r="P52" s="25">
        <v>7.5666142380717005E-3</v>
      </c>
    </row>
    <row r="53" spans="1:16">
      <c r="K53" s="62"/>
      <c r="L53" s="65"/>
      <c r="M53" s="19">
        <f>M26</f>
        <v>3.657</v>
      </c>
      <c r="N53" s="19">
        <f>N26</f>
        <v>4.9596</v>
      </c>
      <c r="O53" s="19">
        <f>O26</f>
        <v>5.3826000000000001</v>
      </c>
      <c r="P53" s="24">
        <f>P26</f>
        <v>5.6285999999999996</v>
      </c>
    </row>
    <row r="54" spans="1:16">
      <c r="K54" s="62" t="s">
        <v>15</v>
      </c>
      <c r="L54" s="67" t="s">
        <v>9</v>
      </c>
      <c r="M54" s="18">
        <v>5.5451938617947505E-3</v>
      </c>
      <c r="N54" s="18">
        <v>2.9917825456908798E-3</v>
      </c>
      <c r="O54" s="18">
        <v>4.9278139466091275E-4</v>
      </c>
      <c r="P54" s="25">
        <v>-1.7503762637918197E-3</v>
      </c>
    </row>
    <row r="55" spans="1:16">
      <c r="K55" s="63"/>
      <c r="L55" s="68"/>
      <c r="M55" s="26">
        <f>M28</f>
        <v>2.9943</v>
      </c>
      <c r="N55" s="26">
        <f>N28</f>
        <v>2.4462000000000002</v>
      </c>
      <c r="O55" s="26">
        <f>O28</f>
        <v>0.49399999999999999</v>
      </c>
      <c r="P55" s="27">
        <f>P28</f>
        <v>-1.8145</v>
      </c>
    </row>
  </sheetData>
  <autoFilter ref="A2:I2"/>
  <mergeCells count="35">
    <mergeCell ref="L5:L6"/>
    <mergeCell ref="L7:L8"/>
    <mergeCell ref="K44:K49"/>
    <mergeCell ref="L44:L45"/>
    <mergeCell ref="L9:L10"/>
    <mergeCell ref="K11:K16"/>
    <mergeCell ref="L11:L12"/>
    <mergeCell ref="L13:L14"/>
    <mergeCell ref="L15:L16"/>
    <mergeCell ref="K23:K28"/>
    <mergeCell ref="L23:L24"/>
    <mergeCell ref="L25:L26"/>
    <mergeCell ref="L27:L28"/>
    <mergeCell ref="K17:K22"/>
    <mergeCell ref="L17:L18"/>
    <mergeCell ref="L19:L20"/>
    <mergeCell ref="L21:L22"/>
    <mergeCell ref="A1:I1"/>
    <mergeCell ref="L46:L47"/>
    <mergeCell ref="K30:P30"/>
    <mergeCell ref="K32:K37"/>
    <mergeCell ref="L32:L33"/>
    <mergeCell ref="L34:L35"/>
    <mergeCell ref="L36:L37"/>
    <mergeCell ref="K38:K43"/>
    <mergeCell ref="L38:L39"/>
    <mergeCell ref="L40:L41"/>
    <mergeCell ref="L42:L43"/>
    <mergeCell ref="K3:P3"/>
    <mergeCell ref="K5:K10"/>
    <mergeCell ref="L48:L49"/>
    <mergeCell ref="K50:K55"/>
    <mergeCell ref="L50:L51"/>
    <mergeCell ref="L52:L53"/>
    <mergeCell ref="L54:L55"/>
  </mergeCells>
  <phoneticPr fontId="19" type="noConversion"/>
  <conditionalFormatting sqref="E2:E50">
    <cfRule type="cellIs" dxfId="31" priority="21" operator="lessThan">
      <formula>0</formula>
    </cfRule>
    <cfRule type="cellIs" dxfId="30" priority="22" operator="greaterThan">
      <formula>0</formula>
    </cfRule>
  </conditionalFormatting>
  <conditionalFormatting sqref="G2:G50">
    <cfRule type="cellIs" dxfId="29" priority="20" operator="lessThan">
      <formula>0.05</formula>
    </cfRule>
  </conditionalFormatting>
  <conditionalFormatting sqref="H2:I50">
    <cfRule type="cellIs" dxfId="28" priority="6" operator="lessThan">
      <formula>0</formula>
    </cfRule>
    <cfRule type="cellIs" dxfId="27" priority="7" operator="greaterThan">
      <formula>0</formula>
    </cfRule>
  </conditionalFormatting>
  <conditionalFormatting sqref="M5:P5 M7:P7 M9:P9 M11:P11 M13:P13 M15:P15 M17:P17 M19:P19 M21:P21 M23:P23 M25:P25 M27:P27">
    <cfRule type="expression" dxfId="26" priority="13">
      <formula>OR(M6&gt;1.96,M6&lt;-1.96)</formula>
    </cfRule>
  </conditionalFormatting>
  <conditionalFormatting sqref="M6:P6 M8:P8 M10:P10">
    <cfRule type="cellIs" dxfId="25" priority="12" operator="between">
      <formula>-1.96</formula>
      <formula>1.96</formula>
    </cfRule>
    <cfRule type="cellIs" dxfId="24" priority="14" operator="notBetween">
      <formula>1.96</formula>
      <formula>-1.96</formula>
    </cfRule>
  </conditionalFormatting>
  <conditionalFormatting sqref="M12:P12 M14:P14 M16:P16 M18:P18 M20:P20 M22:P22 M24:P24 M26:P26 M28:P28">
    <cfRule type="cellIs" dxfId="23" priority="10" operator="between">
      <formula>-1.96</formula>
      <formula>1.96</formula>
    </cfRule>
    <cfRule type="cellIs" dxfId="22" priority="11" operator="notBetween">
      <formula>1.96</formula>
      <formula>-1.96</formula>
    </cfRule>
  </conditionalFormatting>
  <conditionalFormatting sqref="M32:P32 M34:P34 M36:P36 M38:P38 M40:P40 M42:P42 M44:P44 M46:P46 M48:P48 M50:P50 M52:P52 M54:P54">
    <cfRule type="expression" dxfId="21" priority="4">
      <formula>OR(M33&gt;1.96,M33&lt;-1.96)</formula>
    </cfRule>
  </conditionalFormatting>
  <conditionalFormatting sqref="M33:P33 M35:P35 M37:P37">
    <cfRule type="cellIs" dxfId="20" priority="3" operator="between">
      <formula>-1.96</formula>
      <formula>1.96</formula>
    </cfRule>
    <cfRule type="cellIs" dxfId="19" priority="5" operator="notBetween">
      <formula>1.96</formula>
      <formula>-1.96</formula>
    </cfRule>
  </conditionalFormatting>
  <conditionalFormatting sqref="M39:P39 M41:P41 M43:P43 M45:P45 M47:P47 M49:P49 M51:P51 M53:P53 M55:P55">
    <cfRule type="cellIs" dxfId="18" priority="1" operator="between">
      <formula>-1.96</formula>
      <formula>1.96</formula>
    </cfRule>
    <cfRule type="cellIs" dxfId="17" priority="2" operator="notBetween">
      <formula>1.96</formula>
      <formula>-1.96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98"/>
  <sheetViews>
    <sheetView topLeftCell="J1" workbookViewId="0">
      <pane ySplit="2" topLeftCell="A3" activePane="bottomLeft" state="frozen"/>
      <selection pane="bottomLeft" activeCell="K4" sqref="K4:T30"/>
    </sheetView>
  </sheetViews>
  <sheetFormatPr defaultRowHeight="16.5"/>
  <cols>
    <col min="1" max="1" width="6.625" style="46" bestFit="1" customWidth="1"/>
    <col min="2" max="3" width="10.5" style="38" customWidth="1"/>
    <col min="4" max="4" width="14.625" style="38" bestFit="1" customWidth="1"/>
    <col min="5" max="5" width="6.875" style="38" bestFit="1" customWidth="1"/>
    <col min="6" max="6" width="10.5" style="39" bestFit="1" customWidth="1"/>
    <col min="7" max="7" width="10.625" style="38" bestFit="1" customWidth="1"/>
    <col min="8" max="8" width="12.875" style="38" bestFit="1" customWidth="1"/>
    <col min="12" max="12" width="14.125" customWidth="1"/>
    <col min="13" max="20" width="10.875" customWidth="1"/>
  </cols>
  <sheetData>
    <row r="1" spans="1:20">
      <c r="A1" s="79" t="s">
        <v>39</v>
      </c>
      <c r="B1" s="79"/>
      <c r="C1" s="79"/>
      <c r="D1" s="79"/>
      <c r="E1" s="79"/>
      <c r="F1" s="79"/>
      <c r="G1" s="79"/>
      <c r="H1" s="79"/>
    </row>
    <row r="2" spans="1:20">
      <c r="A2" s="36" t="s">
        <v>29</v>
      </c>
      <c r="B2" s="36" t="s">
        <v>5</v>
      </c>
      <c r="C2" s="36" t="s">
        <v>6</v>
      </c>
      <c r="D2" s="36" t="s">
        <v>0</v>
      </c>
      <c r="E2" s="36" t="s">
        <v>1</v>
      </c>
      <c r="F2" s="37" t="s">
        <v>2</v>
      </c>
      <c r="G2" s="36" t="s">
        <v>3</v>
      </c>
      <c r="H2" s="36" t="s">
        <v>4</v>
      </c>
    </row>
    <row r="3" spans="1:20">
      <c r="A3" s="48" t="s">
        <v>28</v>
      </c>
      <c r="B3" s="38">
        <v>3</v>
      </c>
      <c r="C3" s="38">
        <v>3</v>
      </c>
      <c r="D3" s="38" t="s">
        <v>7</v>
      </c>
      <c r="E3" s="38">
        <v>174</v>
      </c>
      <c r="F3" s="39">
        <v>-2.1325668562729E-3</v>
      </c>
      <c r="G3" s="40">
        <v>-0.81791082137331195</v>
      </c>
      <c r="H3" s="41">
        <v>0.41453319407871803</v>
      </c>
    </row>
    <row r="4" spans="1:20">
      <c r="A4" s="48" t="s">
        <v>28</v>
      </c>
      <c r="B4" s="38">
        <v>3</v>
      </c>
      <c r="C4" s="38">
        <v>3</v>
      </c>
      <c r="D4" s="38" t="s">
        <v>8</v>
      </c>
      <c r="E4" s="38">
        <v>174</v>
      </c>
      <c r="F4" s="39">
        <v>4.5505778524624002E-3</v>
      </c>
      <c r="G4" s="40">
        <v>1.9446069691710299</v>
      </c>
      <c r="H4" s="41">
        <v>5.3443910068290197E-2</v>
      </c>
      <c r="K4" s="80" t="s">
        <v>40</v>
      </c>
      <c r="L4" s="80"/>
      <c r="M4" s="80"/>
      <c r="N4" s="80"/>
      <c r="O4" s="80"/>
      <c r="P4" s="80"/>
      <c r="Q4" s="80"/>
      <c r="R4" s="80"/>
      <c r="S4" s="80"/>
      <c r="T4" s="80"/>
    </row>
    <row r="5" spans="1:20">
      <c r="A5" s="48" t="s">
        <v>28</v>
      </c>
      <c r="B5" s="42">
        <v>3</v>
      </c>
      <c r="C5" s="42">
        <v>3</v>
      </c>
      <c r="D5" s="42" t="s">
        <v>9</v>
      </c>
      <c r="E5" s="42">
        <v>174</v>
      </c>
      <c r="F5" s="43">
        <v>6.6831447087352999E-3</v>
      </c>
      <c r="G5" s="44">
        <v>4.3215473306631198</v>
      </c>
      <c r="H5" s="45">
        <v>2.6079499189192799E-5</v>
      </c>
      <c r="K5" s="34"/>
      <c r="L5" s="35"/>
      <c r="M5" s="81" t="s">
        <v>33</v>
      </c>
      <c r="N5" s="82"/>
      <c r="O5" s="82"/>
      <c r="P5" s="83"/>
      <c r="Q5" s="84" t="s">
        <v>34</v>
      </c>
      <c r="R5" s="85"/>
      <c r="S5" s="85"/>
      <c r="T5" s="86"/>
    </row>
    <row r="6" spans="1:20" ht="17.25" thickBot="1">
      <c r="A6" s="48" t="s">
        <v>28</v>
      </c>
      <c r="B6" s="38">
        <v>3</v>
      </c>
      <c r="C6" s="38">
        <v>6</v>
      </c>
      <c r="D6" s="38" t="s">
        <v>7</v>
      </c>
      <c r="E6" s="38">
        <v>171</v>
      </c>
      <c r="F6" s="39">
        <v>-3.0428985553032002E-3</v>
      </c>
      <c r="G6" s="40">
        <v>-1.8521871651400601</v>
      </c>
      <c r="H6" s="41">
        <v>6.5733013185584596E-2</v>
      </c>
      <c r="K6" s="28" t="s">
        <v>16</v>
      </c>
      <c r="L6" s="22" t="s">
        <v>17</v>
      </c>
      <c r="M6" s="55">
        <v>3</v>
      </c>
      <c r="N6" s="55">
        <v>6</v>
      </c>
      <c r="O6" s="55">
        <v>9</v>
      </c>
      <c r="P6" s="56">
        <v>12</v>
      </c>
      <c r="Q6" s="55">
        <v>3</v>
      </c>
      <c r="R6" s="55">
        <v>6</v>
      </c>
      <c r="S6" s="55">
        <v>9</v>
      </c>
      <c r="T6" s="56">
        <v>12</v>
      </c>
    </row>
    <row r="7" spans="1:20">
      <c r="A7" s="48" t="s">
        <v>28</v>
      </c>
      <c r="B7" s="38">
        <v>3</v>
      </c>
      <c r="C7" s="38">
        <v>6</v>
      </c>
      <c r="D7" s="38" t="s">
        <v>8</v>
      </c>
      <c r="E7" s="38">
        <v>171</v>
      </c>
      <c r="F7" s="39">
        <v>2.9804602757640998E-3</v>
      </c>
      <c r="G7" s="40">
        <v>1.8047424630357101</v>
      </c>
      <c r="H7" s="41">
        <v>7.2884817983857902E-2</v>
      </c>
      <c r="K7" s="77" t="s">
        <v>12</v>
      </c>
      <c r="L7" s="76" t="s">
        <v>7</v>
      </c>
      <c r="M7" s="59">
        <v>-2.0999999999999999E-3</v>
      </c>
      <c r="N7" s="59">
        <v>-3.0000000000000001E-3</v>
      </c>
      <c r="O7" s="59">
        <v>-3.3E-3</v>
      </c>
      <c r="P7" s="60">
        <v>-2.8999999999999998E-3</v>
      </c>
      <c r="Q7" s="59">
        <v>-1.1000000000000001E-3</v>
      </c>
      <c r="R7" s="59">
        <v>-2.5999999999999999E-3</v>
      </c>
      <c r="S7" s="59">
        <v>-3.0999999999999999E-3</v>
      </c>
      <c r="T7" s="60">
        <v>-2.5999999999999999E-3</v>
      </c>
    </row>
    <row r="8" spans="1:20">
      <c r="A8" s="48" t="s">
        <v>28</v>
      </c>
      <c r="B8" s="42">
        <v>3</v>
      </c>
      <c r="C8" s="42">
        <v>6</v>
      </c>
      <c r="D8" s="42" t="s">
        <v>9</v>
      </c>
      <c r="E8" s="42">
        <v>171</v>
      </c>
      <c r="F8" s="43">
        <v>6.0233588310673004E-3</v>
      </c>
      <c r="G8" s="44">
        <v>6.3763338057501304</v>
      </c>
      <c r="H8" s="45">
        <v>1.6496901182443799E-9</v>
      </c>
      <c r="K8" s="62"/>
      <c r="L8" s="65"/>
      <c r="M8" s="49">
        <v>-0.81789999999999996</v>
      </c>
      <c r="N8" s="49">
        <v>-1.8522000000000001</v>
      </c>
      <c r="O8" s="49">
        <v>-2.64</v>
      </c>
      <c r="P8" s="50">
        <v>-2.5036</v>
      </c>
      <c r="Q8" s="49">
        <v>-0.41039999999999999</v>
      </c>
      <c r="R8" s="49">
        <v>-1.6489</v>
      </c>
      <c r="S8" s="49">
        <v>-2.4748999999999999</v>
      </c>
      <c r="T8" s="50">
        <v>-2.2530000000000001</v>
      </c>
    </row>
    <row r="9" spans="1:20">
      <c r="A9" s="48" t="s">
        <v>28</v>
      </c>
      <c r="B9" s="38">
        <v>3</v>
      </c>
      <c r="C9" s="38">
        <v>9</v>
      </c>
      <c r="D9" s="38" t="s">
        <v>7</v>
      </c>
      <c r="E9" s="38">
        <v>168</v>
      </c>
      <c r="F9" s="39">
        <v>-3.3495167969786002E-3</v>
      </c>
      <c r="G9" s="40">
        <v>-2.6399603329632502</v>
      </c>
      <c r="H9" s="41">
        <v>9.0773467833276996E-3</v>
      </c>
      <c r="K9" s="78" t="s">
        <v>12</v>
      </c>
      <c r="L9" s="66" t="s">
        <v>8</v>
      </c>
      <c r="M9" s="59">
        <v>4.5999999999999999E-3</v>
      </c>
      <c r="N9" s="59">
        <v>3.0000000000000001E-3</v>
      </c>
      <c r="O9" s="59">
        <v>2E-3</v>
      </c>
      <c r="P9" s="60">
        <v>6.9999999999999999E-4</v>
      </c>
      <c r="Q9" s="59">
        <v>5.4000000000000003E-3</v>
      </c>
      <c r="R9" s="59">
        <v>3.3E-3</v>
      </c>
      <c r="S9" s="59">
        <v>2.2000000000000001E-3</v>
      </c>
      <c r="T9" s="60">
        <v>6.9999999999999999E-4</v>
      </c>
    </row>
    <row r="10" spans="1:20">
      <c r="A10" s="48" t="s">
        <v>28</v>
      </c>
      <c r="B10" s="38">
        <v>3</v>
      </c>
      <c r="C10" s="38">
        <v>9</v>
      </c>
      <c r="D10" s="38" t="s">
        <v>8</v>
      </c>
      <c r="E10" s="38">
        <v>168</v>
      </c>
      <c r="F10" s="39">
        <v>1.9510542829555E-3</v>
      </c>
      <c r="G10" s="40">
        <v>1.490222866641</v>
      </c>
      <c r="H10" s="41">
        <v>0.138051931482123</v>
      </c>
      <c r="K10" s="62"/>
      <c r="L10" s="65"/>
      <c r="M10" s="49">
        <v>1.9446000000000001</v>
      </c>
      <c r="N10" s="49">
        <v>1.8047</v>
      </c>
      <c r="O10" s="49">
        <v>1.4902</v>
      </c>
      <c r="P10" s="50">
        <v>0.56950000000000001</v>
      </c>
      <c r="Q10" s="49">
        <v>2.3849</v>
      </c>
      <c r="R10" s="49">
        <v>1.9822</v>
      </c>
      <c r="S10" s="49">
        <v>1.7138</v>
      </c>
      <c r="T10" s="50">
        <v>0.59130000000000005</v>
      </c>
    </row>
    <row r="11" spans="1:20">
      <c r="A11" s="48" t="s">
        <v>28</v>
      </c>
      <c r="B11" s="42">
        <v>3</v>
      </c>
      <c r="C11" s="42">
        <v>9</v>
      </c>
      <c r="D11" s="42" t="s">
        <v>9</v>
      </c>
      <c r="E11" s="42">
        <v>168</v>
      </c>
      <c r="F11" s="43">
        <v>5.3005710799342003E-3</v>
      </c>
      <c r="G11" s="44">
        <v>7.3818963992020104</v>
      </c>
      <c r="H11" s="45">
        <v>7.0186944397249002E-12</v>
      </c>
      <c r="K11" s="78" t="s">
        <v>12</v>
      </c>
      <c r="L11" s="67" t="s">
        <v>9</v>
      </c>
      <c r="M11" s="59">
        <v>6.7000000000000002E-3</v>
      </c>
      <c r="N11" s="59">
        <v>6.0000000000000001E-3</v>
      </c>
      <c r="O11" s="59">
        <v>5.3E-3</v>
      </c>
      <c r="P11" s="60">
        <v>3.5999999999999999E-3</v>
      </c>
      <c r="Q11" s="59">
        <v>6.4999999999999997E-3</v>
      </c>
      <c r="R11" s="59">
        <v>5.8999999999999999E-3</v>
      </c>
      <c r="S11" s="59">
        <v>5.1999999999999998E-3</v>
      </c>
      <c r="T11" s="60">
        <v>3.2000000000000002E-3</v>
      </c>
    </row>
    <row r="12" spans="1:20">
      <c r="A12" s="48" t="s">
        <v>28</v>
      </c>
      <c r="B12" s="38">
        <v>3</v>
      </c>
      <c r="C12" s="38">
        <v>12</v>
      </c>
      <c r="D12" s="38" t="s">
        <v>7</v>
      </c>
      <c r="E12" s="38">
        <v>165</v>
      </c>
      <c r="F12" s="39">
        <v>-2.8954778817364998E-3</v>
      </c>
      <c r="G12" s="40">
        <v>-2.50358083787637</v>
      </c>
      <c r="H12" s="41">
        <v>1.32723494998372E-2</v>
      </c>
      <c r="K12" s="70"/>
      <c r="L12" s="71"/>
      <c r="M12" s="51">
        <v>4.3215000000000003</v>
      </c>
      <c r="N12" s="51">
        <v>6.3762999999999996</v>
      </c>
      <c r="O12" s="51">
        <v>7.3818999999999999</v>
      </c>
      <c r="P12" s="52">
        <v>5.6391</v>
      </c>
      <c r="Q12" s="51">
        <v>4.2464000000000004</v>
      </c>
      <c r="R12" s="51">
        <v>6.2256999999999998</v>
      </c>
      <c r="S12" s="51">
        <v>7.6216999999999997</v>
      </c>
      <c r="T12" s="52">
        <v>5.2355</v>
      </c>
    </row>
    <row r="13" spans="1:20">
      <c r="A13" s="48" t="s">
        <v>28</v>
      </c>
      <c r="B13" s="38">
        <v>3</v>
      </c>
      <c r="C13" s="38">
        <v>12</v>
      </c>
      <c r="D13" s="38" t="s">
        <v>8</v>
      </c>
      <c r="E13" s="38">
        <v>165</v>
      </c>
      <c r="F13" s="39">
        <v>6.5792487932809997E-4</v>
      </c>
      <c r="G13" s="40">
        <v>0.56948315427182605</v>
      </c>
      <c r="H13" s="41">
        <v>0.56980749050447999</v>
      </c>
      <c r="K13" s="87" t="s">
        <v>13</v>
      </c>
      <c r="L13" s="64" t="s">
        <v>7</v>
      </c>
      <c r="M13" s="59">
        <v>-2.5000000000000001E-3</v>
      </c>
      <c r="N13" s="59">
        <v>-3.5000000000000001E-3</v>
      </c>
      <c r="O13" s="59">
        <v>-3.0999999999999999E-3</v>
      </c>
      <c r="P13" s="60">
        <v>-2.0999999999999999E-3</v>
      </c>
      <c r="Q13" s="59">
        <v>-1.8E-3</v>
      </c>
      <c r="R13" s="59">
        <v>-3.3E-3</v>
      </c>
      <c r="S13" s="59">
        <v>-2.8999999999999998E-3</v>
      </c>
      <c r="T13" s="60">
        <v>-1.8E-3</v>
      </c>
    </row>
    <row r="14" spans="1:20">
      <c r="A14" s="48" t="s">
        <v>28</v>
      </c>
      <c r="B14" s="42">
        <v>3</v>
      </c>
      <c r="C14" s="42">
        <v>12</v>
      </c>
      <c r="D14" s="42" t="s">
        <v>9</v>
      </c>
      <c r="E14" s="42">
        <v>165</v>
      </c>
      <c r="F14" s="43">
        <v>3.5534027610647002E-3</v>
      </c>
      <c r="G14" s="44">
        <v>5.6391194210851898</v>
      </c>
      <c r="H14" s="45">
        <v>7.3211391091917205E-8</v>
      </c>
      <c r="K14" s="62"/>
      <c r="L14" s="65"/>
      <c r="M14" s="49">
        <v>-0.92259999999999998</v>
      </c>
      <c r="N14" s="49">
        <v>-2.0253999999999999</v>
      </c>
      <c r="O14" s="49">
        <v>-2.2951000000000001</v>
      </c>
      <c r="P14" s="50">
        <v>-1.7301</v>
      </c>
      <c r="Q14" s="49">
        <v>-0.66779999999999995</v>
      </c>
      <c r="R14" s="49">
        <v>-1.9197</v>
      </c>
      <c r="S14" s="49">
        <v>-2.1482000000000001</v>
      </c>
      <c r="T14" s="50">
        <v>-1.5346</v>
      </c>
    </row>
    <row r="15" spans="1:20">
      <c r="A15" s="48" t="s">
        <v>28</v>
      </c>
      <c r="B15" s="38">
        <v>6</v>
      </c>
      <c r="C15" s="38">
        <v>3</v>
      </c>
      <c r="D15" s="38" t="s">
        <v>7</v>
      </c>
      <c r="E15" s="38">
        <v>171</v>
      </c>
      <c r="F15" s="39">
        <v>-2.4945120962329001E-3</v>
      </c>
      <c r="G15" s="40">
        <v>-0.92258790721279804</v>
      </c>
      <c r="H15" s="41">
        <v>0.35752953174233099</v>
      </c>
      <c r="K15" s="78" t="s">
        <v>13</v>
      </c>
      <c r="L15" s="66" t="s">
        <v>8</v>
      </c>
      <c r="M15" s="59">
        <v>4.8999999999999998E-3</v>
      </c>
      <c r="N15" s="59">
        <v>3.3E-3</v>
      </c>
      <c r="O15" s="59">
        <v>1.6999999999999999E-3</v>
      </c>
      <c r="P15" s="60">
        <v>1E-4</v>
      </c>
      <c r="Q15" s="59">
        <v>5.4000000000000003E-3</v>
      </c>
      <c r="R15" s="59">
        <v>3.5000000000000001E-3</v>
      </c>
      <c r="S15" s="59">
        <v>1.6999999999999999E-3</v>
      </c>
      <c r="T15" s="60">
        <v>1E-4</v>
      </c>
    </row>
    <row r="16" spans="1:20">
      <c r="A16" s="48" t="s">
        <v>28</v>
      </c>
      <c r="B16" s="38">
        <v>6</v>
      </c>
      <c r="C16" s="38">
        <v>3</v>
      </c>
      <c r="D16" s="38" t="s">
        <v>8</v>
      </c>
      <c r="E16" s="38">
        <v>171</v>
      </c>
      <c r="F16" s="39">
        <v>4.9360132614400002E-3</v>
      </c>
      <c r="G16" s="40">
        <v>1.9721307249652</v>
      </c>
      <c r="H16" s="41">
        <v>5.0216819459381001E-2</v>
      </c>
      <c r="K16" s="62"/>
      <c r="L16" s="65"/>
      <c r="M16" s="49">
        <v>1.9721</v>
      </c>
      <c r="N16" s="49">
        <v>1.9630000000000001</v>
      </c>
      <c r="O16" s="49">
        <v>1.292</v>
      </c>
      <c r="P16" s="50">
        <v>8.77E-2</v>
      </c>
      <c r="Q16" s="49">
        <v>2.2437</v>
      </c>
      <c r="R16" s="49">
        <v>2.0886</v>
      </c>
      <c r="S16" s="49">
        <v>1.343</v>
      </c>
      <c r="T16" s="50">
        <v>6.8900000000000003E-2</v>
      </c>
    </row>
    <row r="17" spans="1:20">
      <c r="A17" s="48" t="s">
        <v>28</v>
      </c>
      <c r="B17" s="42">
        <v>6</v>
      </c>
      <c r="C17" s="42">
        <v>3</v>
      </c>
      <c r="D17" s="42" t="s">
        <v>9</v>
      </c>
      <c r="E17" s="42">
        <v>171</v>
      </c>
      <c r="F17" s="43">
        <v>7.430525357673E-3</v>
      </c>
      <c r="G17" s="44">
        <v>4.4119232168964801</v>
      </c>
      <c r="H17" s="45">
        <v>1.8138236927042701E-5</v>
      </c>
      <c r="K17" s="78" t="s">
        <v>13</v>
      </c>
      <c r="L17" s="67" t="s">
        <v>9</v>
      </c>
      <c r="M17" s="59">
        <v>7.4000000000000003E-3</v>
      </c>
      <c r="N17" s="59">
        <v>6.7999999999999996E-3</v>
      </c>
      <c r="O17" s="59">
        <v>4.8999999999999998E-3</v>
      </c>
      <c r="P17" s="60">
        <v>2.2000000000000001E-3</v>
      </c>
      <c r="Q17" s="59">
        <v>7.1999999999999998E-3</v>
      </c>
      <c r="R17" s="59">
        <v>6.7999999999999996E-3</v>
      </c>
      <c r="S17" s="59">
        <v>4.5999999999999999E-3</v>
      </c>
      <c r="T17" s="60">
        <v>1.9E-3</v>
      </c>
    </row>
    <row r="18" spans="1:20">
      <c r="A18" s="48" t="s">
        <v>28</v>
      </c>
      <c r="B18" s="38">
        <v>6</v>
      </c>
      <c r="C18" s="38">
        <v>6</v>
      </c>
      <c r="D18" s="38" t="s">
        <v>7</v>
      </c>
      <c r="E18" s="38">
        <v>168</v>
      </c>
      <c r="F18" s="39">
        <v>-3.5164580295623999E-3</v>
      </c>
      <c r="G18" s="40">
        <v>-2.0253514474231298</v>
      </c>
      <c r="H18" s="41">
        <v>4.4423593788301803E-2</v>
      </c>
      <c r="K18" s="70"/>
      <c r="L18" s="71"/>
      <c r="M18" s="51">
        <v>4.4119000000000002</v>
      </c>
      <c r="N18" s="51">
        <v>6.7416</v>
      </c>
      <c r="O18" s="51">
        <v>6.4813999999999998</v>
      </c>
      <c r="P18" s="52">
        <v>3.1941000000000002</v>
      </c>
      <c r="Q18" s="51">
        <v>4.2690000000000001</v>
      </c>
      <c r="R18" s="51">
        <v>6.5789</v>
      </c>
      <c r="S18" s="51">
        <v>6.1276999999999999</v>
      </c>
      <c r="T18" s="52">
        <v>2.8250999999999999</v>
      </c>
    </row>
    <row r="19" spans="1:20">
      <c r="A19" s="48" t="s">
        <v>28</v>
      </c>
      <c r="B19" s="38">
        <v>6</v>
      </c>
      <c r="C19" s="38">
        <v>6</v>
      </c>
      <c r="D19" s="38" t="s">
        <v>8</v>
      </c>
      <c r="E19" s="38">
        <v>168</v>
      </c>
      <c r="F19" s="39">
        <v>3.3301099068883998E-3</v>
      </c>
      <c r="G19" s="40">
        <v>1.9629924324300601</v>
      </c>
      <c r="H19" s="41">
        <v>5.13080576829145E-2</v>
      </c>
      <c r="K19" s="87" t="s">
        <v>14</v>
      </c>
      <c r="L19" s="64" t="s">
        <v>7</v>
      </c>
      <c r="M19" s="59">
        <v>-2.8999999999999998E-3</v>
      </c>
      <c r="N19" s="59">
        <v>-3.0999999999999999E-3</v>
      </c>
      <c r="O19" s="59">
        <v>-2.0999999999999999E-3</v>
      </c>
      <c r="P19" s="60">
        <v>-8.0000000000000004E-4</v>
      </c>
      <c r="Q19" s="59">
        <v>-1.8E-3</v>
      </c>
      <c r="R19" s="59">
        <v>-2.7000000000000001E-3</v>
      </c>
      <c r="S19" s="59">
        <v>-1.8E-3</v>
      </c>
      <c r="T19" s="60">
        <v>-2.9999999999999997E-4</v>
      </c>
    </row>
    <row r="20" spans="1:20">
      <c r="A20" s="48" t="s">
        <v>28</v>
      </c>
      <c r="B20" s="42">
        <v>6</v>
      </c>
      <c r="C20" s="42">
        <v>6</v>
      </c>
      <c r="D20" s="42" t="s">
        <v>9</v>
      </c>
      <c r="E20" s="42">
        <v>168</v>
      </c>
      <c r="F20" s="43">
        <v>6.8465679364508999E-3</v>
      </c>
      <c r="G20" s="44">
        <v>6.7416400719500604</v>
      </c>
      <c r="H20" s="45">
        <v>2.4364017710654902E-10</v>
      </c>
      <c r="K20" s="62"/>
      <c r="L20" s="65"/>
      <c r="M20" s="49">
        <v>-1.0476000000000001</v>
      </c>
      <c r="N20" s="49">
        <v>-1.6786000000000001</v>
      </c>
      <c r="O20" s="49">
        <v>-1.4997</v>
      </c>
      <c r="P20" s="50">
        <v>-0.61660000000000004</v>
      </c>
      <c r="Q20" s="49">
        <v>-0.64970000000000006</v>
      </c>
      <c r="R20" s="49">
        <v>-1.4702999999999999</v>
      </c>
      <c r="S20" s="49">
        <v>-1.2750999999999999</v>
      </c>
      <c r="T20" s="50">
        <v>-0.26419999999999999</v>
      </c>
    </row>
    <row r="21" spans="1:20">
      <c r="A21" s="48" t="s">
        <v>28</v>
      </c>
      <c r="B21" s="38">
        <v>6</v>
      </c>
      <c r="C21" s="38">
        <v>9</v>
      </c>
      <c r="D21" s="38" t="s">
        <v>7</v>
      </c>
      <c r="E21" s="38">
        <v>165</v>
      </c>
      <c r="F21" s="39">
        <v>-3.1280033400490001E-3</v>
      </c>
      <c r="G21" s="40">
        <v>-2.2950885386136202</v>
      </c>
      <c r="H21" s="41">
        <v>2.2995192205086699E-2</v>
      </c>
      <c r="K21" s="78" t="s">
        <v>14</v>
      </c>
      <c r="L21" s="66" t="s">
        <v>8</v>
      </c>
      <c r="M21" s="59">
        <v>5.1000000000000004E-3</v>
      </c>
      <c r="N21" s="59">
        <v>2.5000000000000001E-3</v>
      </c>
      <c r="O21" s="59">
        <v>5.9999999999999995E-4</v>
      </c>
      <c r="P21" s="60">
        <v>-8.0000000000000004E-4</v>
      </c>
      <c r="Q21" s="59">
        <v>6.1000000000000004E-3</v>
      </c>
      <c r="R21" s="59">
        <v>2.5999999999999999E-3</v>
      </c>
      <c r="S21" s="59">
        <v>6.9999999999999999E-4</v>
      </c>
      <c r="T21" s="60">
        <v>-6.9999999999999999E-4</v>
      </c>
    </row>
    <row r="22" spans="1:20">
      <c r="A22" s="48" t="s">
        <v>28</v>
      </c>
      <c r="B22" s="38">
        <v>6</v>
      </c>
      <c r="C22" s="38">
        <v>9</v>
      </c>
      <c r="D22" s="38" t="s">
        <v>8</v>
      </c>
      <c r="E22" s="38">
        <v>165</v>
      </c>
      <c r="F22" s="39">
        <v>1.7424822358346E-3</v>
      </c>
      <c r="G22" s="40">
        <v>1.29201876796469</v>
      </c>
      <c r="H22" s="41">
        <v>0.19816832816497801</v>
      </c>
      <c r="K22" s="62"/>
      <c r="L22" s="65"/>
      <c r="M22" s="49">
        <v>2.0213999999999999</v>
      </c>
      <c r="N22" s="49">
        <v>1.5029999999999999</v>
      </c>
      <c r="O22" s="49">
        <v>0.4466</v>
      </c>
      <c r="P22" s="50">
        <v>-0.67130000000000001</v>
      </c>
      <c r="Q22" s="49">
        <v>2.4946000000000002</v>
      </c>
      <c r="R22" s="49">
        <v>1.5693999999999999</v>
      </c>
      <c r="S22" s="49">
        <v>0.5151</v>
      </c>
      <c r="T22" s="50">
        <v>-0.60719999999999996</v>
      </c>
    </row>
    <row r="23" spans="1:20">
      <c r="A23" s="48" t="s">
        <v>28</v>
      </c>
      <c r="B23" s="42">
        <v>6</v>
      </c>
      <c r="C23" s="42">
        <v>9</v>
      </c>
      <c r="D23" s="42" t="s">
        <v>9</v>
      </c>
      <c r="E23" s="42">
        <v>165</v>
      </c>
      <c r="F23" s="43">
        <v>4.8704855758837E-3</v>
      </c>
      <c r="G23" s="44">
        <v>6.4813907884381603</v>
      </c>
      <c r="H23" s="45">
        <v>1.0187732109516401E-9</v>
      </c>
      <c r="K23" s="78" t="s">
        <v>14</v>
      </c>
      <c r="L23" s="67" t="s">
        <v>9</v>
      </c>
      <c r="M23" s="59">
        <v>8.0000000000000002E-3</v>
      </c>
      <c r="N23" s="59">
        <v>5.5999999999999999E-3</v>
      </c>
      <c r="O23" s="59">
        <v>2.7000000000000001E-3</v>
      </c>
      <c r="P23" s="60">
        <v>0</v>
      </c>
      <c r="Q23" s="59">
        <v>7.7999999999999996E-3</v>
      </c>
      <c r="R23" s="59">
        <v>5.3E-3</v>
      </c>
      <c r="S23" s="59">
        <v>2.3999999999999998E-3</v>
      </c>
      <c r="T23" s="60">
        <v>-4.0000000000000002E-4</v>
      </c>
    </row>
    <row r="24" spans="1:20">
      <c r="A24" s="48" t="s">
        <v>28</v>
      </c>
      <c r="B24" s="38">
        <v>6</v>
      </c>
      <c r="C24" s="38">
        <v>12</v>
      </c>
      <c r="D24" s="38" t="s">
        <v>7</v>
      </c>
      <c r="E24" s="38">
        <v>162</v>
      </c>
      <c r="F24" s="39">
        <v>-2.1005760105777E-3</v>
      </c>
      <c r="G24" s="40">
        <v>-1.7301175823183399</v>
      </c>
      <c r="H24" s="41">
        <v>8.5525543133908297E-2</v>
      </c>
      <c r="K24" s="70"/>
      <c r="L24" s="71"/>
      <c r="M24" s="51">
        <v>4.585</v>
      </c>
      <c r="N24" s="51">
        <v>5.3158000000000003</v>
      </c>
      <c r="O24" s="51">
        <v>3.4003000000000001</v>
      </c>
      <c r="P24" s="52">
        <v>-5.67E-2</v>
      </c>
      <c r="Q24" s="51">
        <v>4.4781000000000004</v>
      </c>
      <c r="R24" s="51">
        <v>4.9478</v>
      </c>
      <c r="S24" s="51">
        <v>3.0322</v>
      </c>
      <c r="T24" s="52">
        <v>-0.53990000000000005</v>
      </c>
    </row>
    <row r="25" spans="1:20">
      <c r="A25" s="48" t="s">
        <v>28</v>
      </c>
      <c r="B25" s="38">
        <v>6</v>
      </c>
      <c r="C25" s="38">
        <v>12</v>
      </c>
      <c r="D25" s="38" t="s">
        <v>8</v>
      </c>
      <c r="E25" s="38">
        <v>162</v>
      </c>
      <c r="F25" s="39">
        <v>1.055218887769E-4</v>
      </c>
      <c r="G25" s="40">
        <v>8.7652755762222007E-2</v>
      </c>
      <c r="H25" s="41">
        <v>0.93026159699928401</v>
      </c>
      <c r="K25" s="87" t="s">
        <v>15</v>
      </c>
      <c r="L25" s="64" t="s">
        <v>7</v>
      </c>
      <c r="M25" s="59">
        <v>-1.2999999999999999E-3</v>
      </c>
      <c r="N25" s="59">
        <v>-8.0000000000000004E-4</v>
      </c>
      <c r="O25" s="59">
        <v>2.0000000000000001E-4</v>
      </c>
      <c r="P25" s="60">
        <v>1.5E-3</v>
      </c>
      <c r="Q25" s="59">
        <v>-1E-4</v>
      </c>
      <c r="R25" s="59">
        <v>-4.0000000000000002E-4</v>
      </c>
      <c r="S25" s="59">
        <v>6.9999999999999999E-4</v>
      </c>
      <c r="T25" s="60">
        <v>1.9E-3</v>
      </c>
    </row>
    <row r="26" spans="1:20">
      <c r="A26" s="48" t="s">
        <v>28</v>
      </c>
      <c r="B26" s="42">
        <v>6</v>
      </c>
      <c r="C26" s="42">
        <v>12</v>
      </c>
      <c r="D26" s="42" t="s">
        <v>9</v>
      </c>
      <c r="E26" s="42">
        <v>162</v>
      </c>
      <c r="F26" s="43">
        <v>2.2060978993546001E-3</v>
      </c>
      <c r="G26" s="44">
        <v>3.19414521729305</v>
      </c>
      <c r="H26" s="45">
        <v>1.6874423740729E-3</v>
      </c>
      <c r="K26" s="62"/>
      <c r="L26" s="65"/>
      <c r="M26" s="49">
        <v>-0.44940000000000002</v>
      </c>
      <c r="N26" s="49">
        <v>-0.41830000000000001</v>
      </c>
      <c r="O26" s="49">
        <v>0.1205</v>
      </c>
      <c r="P26" s="50">
        <v>1.2542</v>
      </c>
      <c r="Q26" s="49">
        <v>-4.36E-2</v>
      </c>
      <c r="R26" s="49">
        <v>-0.19980000000000001</v>
      </c>
      <c r="S26" s="49">
        <v>0.49730000000000002</v>
      </c>
      <c r="T26" s="50">
        <v>1.5952</v>
      </c>
    </row>
    <row r="27" spans="1:20">
      <c r="A27" s="48" t="s">
        <v>28</v>
      </c>
      <c r="B27" s="38">
        <v>9</v>
      </c>
      <c r="C27" s="38">
        <v>3</v>
      </c>
      <c r="D27" s="38" t="s">
        <v>7</v>
      </c>
      <c r="E27" s="38">
        <v>168</v>
      </c>
      <c r="F27" s="39">
        <v>-2.9208301836323E-3</v>
      </c>
      <c r="G27" s="40">
        <v>-1.0476403704502899</v>
      </c>
      <c r="H27" s="41">
        <v>0.29631819803237402</v>
      </c>
      <c r="K27" s="78" t="s">
        <v>15</v>
      </c>
      <c r="L27" s="66" t="s">
        <v>8</v>
      </c>
      <c r="M27" s="59">
        <v>2.8E-3</v>
      </c>
      <c r="N27" s="59">
        <v>6.9999999999999999E-4</v>
      </c>
      <c r="O27" s="59">
        <v>-5.9999999999999995E-4</v>
      </c>
      <c r="P27" s="60">
        <v>-1.1999999999999999E-3</v>
      </c>
      <c r="Q27" s="59">
        <v>3.5000000000000001E-3</v>
      </c>
      <c r="R27" s="59">
        <v>1E-3</v>
      </c>
      <c r="S27" s="59">
        <v>-4.0000000000000002E-4</v>
      </c>
      <c r="T27" s="60">
        <v>-1E-3</v>
      </c>
    </row>
    <row r="28" spans="1:20">
      <c r="A28" s="48" t="s">
        <v>28</v>
      </c>
      <c r="B28" s="38">
        <v>9</v>
      </c>
      <c r="C28" s="38">
        <v>3</v>
      </c>
      <c r="D28" s="38" t="s">
        <v>8</v>
      </c>
      <c r="E28" s="38">
        <v>168</v>
      </c>
      <c r="F28" s="39">
        <v>5.1083073131921002E-3</v>
      </c>
      <c r="G28" s="40">
        <v>2.0214359032990799</v>
      </c>
      <c r="H28" s="41">
        <v>4.4831461148095102E-2</v>
      </c>
      <c r="K28" s="62"/>
      <c r="L28" s="65"/>
      <c r="M28" s="49">
        <v>1.0628</v>
      </c>
      <c r="N28" s="49">
        <v>0.4098</v>
      </c>
      <c r="O28" s="49">
        <v>-0.45150000000000001</v>
      </c>
      <c r="P28" s="50">
        <v>-0.97460000000000002</v>
      </c>
      <c r="Q28" s="49">
        <v>1.373</v>
      </c>
      <c r="R28" s="49">
        <v>0.56999999999999995</v>
      </c>
      <c r="S28" s="49">
        <v>-0.3352</v>
      </c>
      <c r="T28" s="50">
        <v>-0.86909999999999998</v>
      </c>
    </row>
    <row r="29" spans="1:20">
      <c r="A29" s="48" t="s">
        <v>28</v>
      </c>
      <c r="B29" s="42">
        <v>9</v>
      </c>
      <c r="C29" s="42">
        <v>3</v>
      </c>
      <c r="D29" s="42" t="s">
        <v>9</v>
      </c>
      <c r="E29" s="42">
        <v>168</v>
      </c>
      <c r="F29" s="43">
        <v>8.0291374968243998E-3</v>
      </c>
      <c r="G29" s="44">
        <v>4.5849736611919099</v>
      </c>
      <c r="H29" s="45">
        <v>8.86430569568759E-6</v>
      </c>
      <c r="K29" s="78" t="s">
        <v>15</v>
      </c>
      <c r="L29" s="67" t="s">
        <v>9</v>
      </c>
      <c r="M29" s="59">
        <v>4.1000000000000003E-3</v>
      </c>
      <c r="N29" s="59">
        <v>1.5E-3</v>
      </c>
      <c r="O29" s="59">
        <v>-8.0000000000000004E-4</v>
      </c>
      <c r="P29" s="60">
        <v>-2.7000000000000001E-3</v>
      </c>
      <c r="Q29" s="59">
        <v>3.5999999999999999E-3</v>
      </c>
      <c r="R29" s="59">
        <v>1.4E-3</v>
      </c>
      <c r="S29" s="59">
        <v>-1.1000000000000001E-3</v>
      </c>
      <c r="T29" s="60">
        <v>-2.8999999999999998E-3</v>
      </c>
    </row>
    <row r="30" spans="1:20">
      <c r="A30" s="48" t="s">
        <v>28</v>
      </c>
      <c r="B30" s="38">
        <v>9</v>
      </c>
      <c r="C30" s="38">
        <v>6</v>
      </c>
      <c r="D30" s="38" t="s">
        <v>7</v>
      </c>
      <c r="E30" s="38">
        <v>165</v>
      </c>
      <c r="F30" s="39">
        <v>-3.1012411625401999E-3</v>
      </c>
      <c r="G30" s="40">
        <v>-1.6785612824330001</v>
      </c>
      <c r="H30" s="41">
        <v>9.5142006318111899E-2</v>
      </c>
      <c r="K30" s="63"/>
      <c r="L30" s="68"/>
      <c r="M30" s="53">
        <v>2.3317999999999999</v>
      </c>
      <c r="N30" s="53">
        <v>1.3167</v>
      </c>
      <c r="O30" s="53">
        <v>-0.89339999999999997</v>
      </c>
      <c r="P30" s="54">
        <v>-3.3155999999999999</v>
      </c>
      <c r="Q30" s="53">
        <v>2.1116999999999999</v>
      </c>
      <c r="R30" s="53">
        <v>1.1877</v>
      </c>
      <c r="S30" s="53">
        <v>-1.2704</v>
      </c>
      <c r="T30" s="54">
        <v>-3.589</v>
      </c>
    </row>
    <row r="31" spans="1:20">
      <c r="A31" s="48" t="s">
        <v>28</v>
      </c>
      <c r="B31" s="38">
        <v>9</v>
      </c>
      <c r="C31" s="38">
        <v>6</v>
      </c>
      <c r="D31" s="38" t="s">
        <v>8</v>
      </c>
      <c r="E31" s="38">
        <v>165</v>
      </c>
      <c r="F31" s="39">
        <v>2.5257011241088998E-3</v>
      </c>
      <c r="G31" s="40">
        <v>1.50297055677335</v>
      </c>
      <c r="H31" s="41">
        <v>0.134769800652669</v>
      </c>
    </row>
    <row r="32" spans="1:20">
      <c r="A32" s="48" t="s">
        <v>28</v>
      </c>
      <c r="B32" s="42">
        <v>9</v>
      </c>
      <c r="C32" s="42">
        <v>6</v>
      </c>
      <c r="D32" s="42" t="s">
        <v>9</v>
      </c>
      <c r="E32" s="42">
        <v>165</v>
      </c>
      <c r="F32" s="43">
        <v>5.6269422866490997E-3</v>
      </c>
      <c r="G32" s="44">
        <v>5.3157870264351796</v>
      </c>
      <c r="H32" s="45">
        <v>3.4270811806790698E-7</v>
      </c>
    </row>
    <row r="33" spans="1:8">
      <c r="A33" s="48" t="s">
        <v>28</v>
      </c>
      <c r="B33" s="38">
        <v>9</v>
      </c>
      <c r="C33" s="38">
        <v>9</v>
      </c>
      <c r="D33" s="38" t="s">
        <v>7</v>
      </c>
      <c r="E33" s="38">
        <v>162</v>
      </c>
      <c r="F33" s="39">
        <v>-2.1197653086803998E-3</v>
      </c>
      <c r="G33" s="40">
        <v>-1.49972228015791</v>
      </c>
      <c r="H33" s="41">
        <v>0.135644734072355</v>
      </c>
    </row>
    <row r="34" spans="1:8">
      <c r="A34" s="48" t="s">
        <v>28</v>
      </c>
      <c r="B34" s="38">
        <v>9</v>
      </c>
      <c r="C34" s="38">
        <v>9</v>
      </c>
      <c r="D34" s="38" t="s">
        <v>8</v>
      </c>
      <c r="E34" s="38">
        <v>162</v>
      </c>
      <c r="F34" s="39">
        <v>6.0248961873769996E-4</v>
      </c>
      <c r="G34" s="40">
        <v>0.44655601539539103</v>
      </c>
      <c r="H34" s="41">
        <v>0.65579572137991704</v>
      </c>
    </row>
    <row r="35" spans="1:8">
      <c r="A35" s="48" t="s">
        <v>28</v>
      </c>
      <c r="B35" s="42">
        <v>9</v>
      </c>
      <c r="C35" s="42">
        <v>9</v>
      </c>
      <c r="D35" s="42" t="s">
        <v>9</v>
      </c>
      <c r="E35" s="42">
        <v>162</v>
      </c>
      <c r="F35" s="43">
        <v>2.7222549274181001E-3</v>
      </c>
      <c r="G35" s="44">
        <v>3.4002782397083502</v>
      </c>
      <c r="H35" s="45">
        <v>8.4888273224550004E-4</v>
      </c>
    </row>
    <row r="36" spans="1:8">
      <c r="A36" s="48" t="s">
        <v>28</v>
      </c>
      <c r="B36" s="38">
        <v>9</v>
      </c>
      <c r="C36" s="38">
        <v>12</v>
      </c>
      <c r="D36" s="38" t="s">
        <v>7</v>
      </c>
      <c r="E36" s="38">
        <v>159</v>
      </c>
      <c r="F36" s="39">
        <v>-7.6540512627139995E-4</v>
      </c>
      <c r="G36" s="40">
        <v>-0.61661992961484802</v>
      </c>
      <c r="H36" s="41">
        <v>0.53837290024202</v>
      </c>
    </row>
    <row r="37" spans="1:8">
      <c r="A37" s="48" t="s">
        <v>28</v>
      </c>
      <c r="B37" s="38">
        <v>9</v>
      </c>
      <c r="C37" s="38">
        <v>12</v>
      </c>
      <c r="D37" s="38" t="s">
        <v>8</v>
      </c>
      <c r="E37" s="38">
        <v>159</v>
      </c>
      <c r="F37" s="39">
        <v>-8.073333964062E-4</v>
      </c>
      <c r="G37" s="40">
        <v>-0.671257701122983</v>
      </c>
      <c r="H37" s="41">
        <v>0.50303655401091096</v>
      </c>
    </row>
    <row r="38" spans="1:8">
      <c r="A38" s="48" t="s">
        <v>28</v>
      </c>
      <c r="B38" s="42">
        <v>9</v>
      </c>
      <c r="C38" s="42">
        <v>12</v>
      </c>
      <c r="D38" s="42" t="s">
        <v>9</v>
      </c>
      <c r="E38" s="42">
        <v>159</v>
      </c>
      <c r="F38" s="43">
        <v>-4.1928270134765599E-5</v>
      </c>
      <c r="G38" s="44">
        <v>-5.66571657236613E-2</v>
      </c>
      <c r="H38" s="45">
        <v>0.95488988154072496</v>
      </c>
    </row>
    <row r="39" spans="1:8">
      <c r="A39" s="48" t="s">
        <v>28</v>
      </c>
      <c r="B39" s="38">
        <v>12</v>
      </c>
      <c r="C39" s="38">
        <v>3</v>
      </c>
      <c r="D39" s="38" t="s">
        <v>7</v>
      </c>
      <c r="E39" s="38">
        <v>165</v>
      </c>
      <c r="F39" s="39">
        <v>-1.268700162695E-3</v>
      </c>
      <c r="G39" s="40">
        <v>-0.44936194919344202</v>
      </c>
      <c r="H39" s="41">
        <v>0.653763867319061</v>
      </c>
    </row>
    <row r="40" spans="1:8">
      <c r="A40" s="48" t="s">
        <v>28</v>
      </c>
      <c r="B40" s="38">
        <v>12</v>
      </c>
      <c r="C40" s="38">
        <v>3</v>
      </c>
      <c r="D40" s="38" t="s">
        <v>8</v>
      </c>
      <c r="E40" s="38">
        <v>165</v>
      </c>
      <c r="F40" s="39">
        <v>2.8244293662067002E-3</v>
      </c>
      <c r="G40" s="40">
        <v>1.06277615172345</v>
      </c>
      <c r="H40" s="41">
        <v>0.28944590525429498</v>
      </c>
    </row>
    <row r="41" spans="1:8">
      <c r="A41" s="48" t="s">
        <v>28</v>
      </c>
      <c r="B41" s="42">
        <v>12</v>
      </c>
      <c r="C41" s="42">
        <v>3</v>
      </c>
      <c r="D41" s="42" t="s">
        <v>9</v>
      </c>
      <c r="E41" s="42">
        <v>165</v>
      </c>
      <c r="F41" s="43">
        <v>4.0931295289018E-3</v>
      </c>
      <c r="G41" s="44">
        <v>2.33181816282953</v>
      </c>
      <c r="H41" s="45">
        <v>2.0926016137513999E-2</v>
      </c>
    </row>
    <row r="42" spans="1:8">
      <c r="A42" s="48" t="s">
        <v>28</v>
      </c>
      <c r="B42" s="38">
        <v>12</v>
      </c>
      <c r="C42" s="38">
        <v>6</v>
      </c>
      <c r="D42" s="38" t="s">
        <v>7</v>
      </c>
      <c r="E42" s="38">
        <v>162</v>
      </c>
      <c r="F42" s="39">
        <v>-7.7453793430450003E-4</v>
      </c>
      <c r="G42" s="40">
        <v>-0.41833859917296701</v>
      </c>
      <c r="H42" s="41">
        <v>0.67625705076327702</v>
      </c>
    </row>
    <row r="43" spans="1:8">
      <c r="A43" s="48" t="s">
        <v>28</v>
      </c>
      <c r="B43" s="38">
        <v>12</v>
      </c>
      <c r="C43" s="38">
        <v>6</v>
      </c>
      <c r="D43" s="38" t="s">
        <v>8</v>
      </c>
      <c r="E43" s="38">
        <v>162</v>
      </c>
      <c r="F43" s="39">
        <v>7.3384056339960001E-4</v>
      </c>
      <c r="G43" s="40">
        <v>0.40978649584531102</v>
      </c>
      <c r="H43" s="41">
        <v>0.68250729249854303</v>
      </c>
    </row>
    <row r="44" spans="1:8">
      <c r="A44" s="48" t="s">
        <v>28</v>
      </c>
      <c r="B44" s="42">
        <v>12</v>
      </c>
      <c r="C44" s="42">
        <v>6</v>
      </c>
      <c r="D44" s="42" t="s">
        <v>9</v>
      </c>
      <c r="E44" s="42">
        <v>162</v>
      </c>
      <c r="F44" s="43">
        <v>1.5083784977041E-3</v>
      </c>
      <c r="G44" s="44">
        <v>1.31669189531742</v>
      </c>
      <c r="H44" s="45">
        <v>0.18981311575107401</v>
      </c>
    </row>
    <row r="45" spans="1:8">
      <c r="A45" s="48" t="s">
        <v>28</v>
      </c>
      <c r="B45" s="38">
        <v>12</v>
      </c>
      <c r="C45" s="38">
        <v>9</v>
      </c>
      <c r="D45" s="38" t="s">
        <v>7</v>
      </c>
      <c r="E45" s="38">
        <v>159</v>
      </c>
      <c r="F45" s="39">
        <v>1.729419363922E-4</v>
      </c>
      <c r="G45" s="40">
        <v>0.120518981764127</v>
      </c>
      <c r="H45" s="41">
        <v>0.90422516583813595</v>
      </c>
    </row>
    <row r="46" spans="1:8">
      <c r="A46" s="48" t="s">
        <v>28</v>
      </c>
      <c r="B46" s="38">
        <v>12</v>
      </c>
      <c r="C46" s="38">
        <v>9</v>
      </c>
      <c r="D46" s="38" t="s">
        <v>8</v>
      </c>
      <c r="E46" s="38">
        <v>159</v>
      </c>
      <c r="F46" s="39">
        <v>-6.3439510679799997E-4</v>
      </c>
      <c r="G46" s="40">
        <v>-0.45146294285067101</v>
      </c>
      <c r="H46" s="41">
        <v>0.65227499407238598</v>
      </c>
    </row>
    <row r="47" spans="1:8">
      <c r="A47" s="48" t="s">
        <v>28</v>
      </c>
      <c r="B47" s="42">
        <v>12</v>
      </c>
      <c r="C47" s="42">
        <v>9</v>
      </c>
      <c r="D47" s="42" t="s">
        <v>9</v>
      </c>
      <c r="E47" s="42">
        <v>159</v>
      </c>
      <c r="F47" s="43">
        <v>-8.0733704319019999E-4</v>
      </c>
      <c r="G47" s="44">
        <v>-0.89340969265452597</v>
      </c>
      <c r="H47" s="45">
        <v>0.37299659840205901</v>
      </c>
    </row>
    <row r="48" spans="1:8">
      <c r="A48" s="48" t="s">
        <v>28</v>
      </c>
      <c r="B48" s="38">
        <v>12</v>
      </c>
      <c r="C48" s="38">
        <v>12</v>
      </c>
      <c r="D48" s="38" t="s">
        <v>7</v>
      </c>
      <c r="E48" s="38">
        <v>156</v>
      </c>
      <c r="F48" s="39">
        <v>1.5172050789854E-3</v>
      </c>
      <c r="G48" s="40">
        <v>1.2542202931376101</v>
      </c>
      <c r="H48" s="41">
        <v>0.21165009261045101</v>
      </c>
    </row>
    <row r="49" spans="1:8">
      <c r="A49" s="48" t="s">
        <v>28</v>
      </c>
      <c r="B49" s="38">
        <v>12</v>
      </c>
      <c r="C49" s="38">
        <v>12</v>
      </c>
      <c r="D49" s="38" t="s">
        <v>8</v>
      </c>
      <c r="E49" s="38">
        <v>156</v>
      </c>
      <c r="F49" s="39">
        <v>-1.184395420722E-3</v>
      </c>
      <c r="G49" s="40">
        <v>-0.974559840390401</v>
      </c>
      <c r="H49" s="41">
        <v>0.331297128389207</v>
      </c>
    </row>
    <row r="50" spans="1:8">
      <c r="A50" s="48" t="s">
        <v>28</v>
      </c>
      <c r="B50" s="42">
        <v>12</v>
      </c>
      <c r="C50" s="42">
        <v>12</v>
      </c>
      <c r="D50" s="42" t="s">
        <v>9</v>
      </c>
      <c r="E50" s="42">
        <v>156</v>
      </c>
      <c r="F50" s="43">
        <v>-2.7016004997075E-3</v>
      </c>
      <c r="G50" s="44">
        <v>-3.3156315884591798</v>
      </c>
      <c r="H50" s="45">
        <v>1.1388237225330999E-3</v>
      </c>
    </row>
    <row r="51" spans="1:8">
      <c r="A51" s="47" t="s">
        <v>31</v>
      </c>
      <c r="B51" s="38">
        <v>3</v>
      </c>
      <c r="C51" s="38">
        <v>3</v>
      </c>
      <c r="D51" s="38" t="s">
        <v>7</v>
      </c>
      <c r="E51" s="38">
        <v>174</v>
      </c>
      <c r="F51" s="39">
        <v>-1.0593659740967E-3</v>
      </c>
      <c r="G51" s="40">
        <v>-0.41039561907629102</v>
      </c>
      <c r="H51" s="41">
        <v>0.68202357016136494</v>
      </c>
    </row>
    <row r="52" spans="1:8">
      <c r="A52" s="47" t="s">
        <v>31</v>
      </c>
      <c r="B52" s="38">
        <v>3</v>
      </c>
      <c r="C52" s="38">
        <v>3</v>
      </c>
      <c r="D52" s="38" t="s">
        <v>8</v>
      </c>
      <c r="E52" s="38">
        <v>174</v>
      </c>
      <c r="F52" s="39">
        <v>5.3993986725872E-3</v>
      </c>
      <c r="G52" s="40">
        <v>2.3849197459629701</v>
      </c>
      <c r="H52" s="41">
        <v>1.81643014761485E-2</v>
      </c>
    </row>
    <row r="53" spans="1:8">
      <c r="A53" s="47" t="s">
        <v>31</v>
      </c>
      <c r="B53" s="42">
        <v>3</v>
      </c>
      <c r="C53" s="42">
        <v>3</v>
      </c>
      <c r="D53" s="42" t="s">
        <v>9</v>
      </c>
      <c r="E53" s="42">
        <v>174</v>
      </c>
      <c r="F53" s="43">
        <v>6.4587646466838997E-3</v>
      </c>
      <c r="G53" s="44">
        <v>4.2463929507478397</v>
      </c>
      <c r="H53" s="45">
        <v>3.5394904537941199E-5</v>
      </c>
    </row>
    <row r="54" spans="1:8">
      <c r="A54" s="47" t="s">
        <v>31</v>
      </c>
      <c r="B54" s="38">
        <v>3</v>
      </c>
      <c r="C54" s="38">
        <v>6</v>
      </c>
      <c r="D54" s="38" t="s">
        <v>7</v>
      </c>
      <c r="E54" s="38">
        <v>171</v>
      </c>
      <c r="F54" s="39">
        <v>-2.647835857988E-3</v>
      </c>
      <c r="G54" s="40">
        <v>-1.64894398435856</v>
      </c>
      <c r="H54" s="41">
        <v>0.101005834155128</v>
      </c>
    </row>
    <row r="55" spans="1:8">
      <c r="A55" s="47" t="s">
        <v>31</v>
      </c>
      <c r="B55" s="38">
        <v>3</v>
      </c>
      <c r="C55" s="38">
        <v>6</v>
      </c>
      <c r="D55" s="38" t="s">
        <v>8</v>
      </c>
      <c r="E55" s="38">
        <v>171</v>
      </c>
      <c r="F55" s="39">
        <v>3.2877781653919999E-3</v>
      </c>
      <c r="G55" s="40">
        <v>1.98222796721096</v>
      </c>
      <c r="H55" s="41">
        <v>4.9065209551233599E-2</v>
      </c>
    </row>
    <row r="56" spans="1:8">
      <c r="A56" s="47" t="s">
        <v>31</v>
      </c>
      <c r="B56" s="42">
        <v>3</v>
      </c>
      <c r="C56" s="42">
        <v>6</v>
      </c>
      <c r="D56" s="42" t="s">
        <v>9</v>
      </c>
      <c r="E56" s="42">
        <v>171</v>
      </c>
      <c r="F56" s="43">
        <v>5.9356140233799998E-3</v>
      </c>
      <c r="G56" s="44">
        <v>6.2256505297310101</v>
      </c>
      <c r="H56" s="45">
        <v>3.6276663909476301E-9</v>
      </c>
    </row>
    <row r="57" spans="1:8">
      <c r="A57" s="47" t="s">
        <v>31</v>
      </c>
      <c r="B57" s="38">
        <v>3</v>
      </c>
      <c r="C57" s="38">
        <v>9</v>
      </c>
      <c r="D57" s="38" t="s">
        <v>7</v>
      </c>
      <c r="E57" s="38">
        <v>168</v>
      </c>
      <c r="F57" s="39">
        <v>-3.0738639084283001E-3</v>
      </c>
      <c r="G57" s="40">
        <v>-2.4749204783714398</v>
      </c>
      <c r="H57" s="41">
        <v>1.43249926670732E-2</v>
      </c>
    </row>
    <row r="58" spans="1:8">
      <c r="A58" s="47" t="s">
        <v>31</v>
      </c>
      <c r="B58" s="38">
        <v>3</v>
      </c>
      <c r="C58" s="38">
        <v>9</v>
      </c>
      <c r="D58" s="38" t="s">
        <v>8</v>
      </c>
      <c r="E58" s="38">
        <v>168</v>
      </c>
      <c r="F58" s="39">
        <v>2.1715336531811001E-3</v>
      </c>
      <c r="G58" s="40">
        <v>1.7137833555877899</v>
      </c>
      <c r="H58" s="41">
        <v>8.8423983836895495E-2</v>
      </c>
    </row>
    <row r="59" spans="1:8">
      <c r="A59" s="47" t="s">
        <v>31</v>
      </c>
      <c r="B59" s="42">
        <v>3</v>
      </c>
      <c r="C59" s="42">
        <v>9</v>
      </c>
      <c r="D59" s="42" t="s">
        <v>9</v>
      </c>
      <c r="E59" s="42">
        <v>168</v>
      </c>
      <c r="F59" s="43">
        <v>5.2453975616094002E-3</v>
      </c>
      <c r="G59" s="44">
        <v>7.62170073240262</v>
      </c>
      <c r="H59" s="45">
        <v>1.78643894009456E-12</v>
      </c>
    </row>
    <row r="60" spans="1:8">
      <c r="A60" s="47" t="s">
        <v>31</v>
      </c>
      <c r="B60" s="38">
        <v>3</v>
      </c>
      <c r="C60" s="38">
        <v>12</v>
      </c>
      <c r="D60" s="38" t="s">
        <v>7</v>
      </c>
      <c r="E60" s="38">
        <v>165</v>
      </c>
      <c r="F60" s="39">
        <v>-2.5733901964272998E-3</v>
      </c>
      <c r="G60" s="40">
        <v>-2.2530362400210202</v>
      </c>
      <c r="H60" s="41">
        <v>2.5582505569413799E-2</v>
      </c>
    </row>
    <row r="61" spans="1:8">
      <c r="A61" s="47" t="s">
        <v>31</v>
      </c>
      <c r="B61" s="38">
        <v>3</v>
      </c>
      <c r="C61" s="38">
        <v>12</v>
      </c>
      <c r="D61" s="38" t="s">
        <v>8</v>
      </c>
      <c r="E61" s="38">
        <v>165</v>
      </c>
      <c r="F61" s="39">
        <v>6.7278286715849998E-4</v>
      </c>
      <c r="G61" s="40">
        <v>0.59134501341418599</v>
      </c>
      <c r="H61" s="41">
        <v>0.55510346746759298</v>
      </c>
    </row>
    <row r="62" spans="1:8">
      <c r="A62" s="47" t="s">
        <v>31</v>
      </c>
      <c r="B62" s="42">
        <v>3</v>
      </c>
      <c r="C62" s="42">
        <v>12</v>
      </c>
      <c r="D62" s="42" t="s">
        <v>9</v>
      </c>
      <c r="E62" s="42">
        <v>165</v>
      </c>
      <c r="F62" s="43">
        <v>3.2461730635858E-3</v>
      </c>
      <c r="G62" s="44">
        <v>5.2354965203262704</v>
      </c>
      <c r="H62" s="45">
        <v>4.9824253611661895E-7</v>
      </c>
    </row>
    <row r="63" spans="1:8">
      <c r="A63" s="47" t="s">
        <v>31</v>
      </c>
      <c r="B63" s="38">
        <v>6</v>
      </c>
      <c r="C63" s="38">
        <v>3</v>
      </c>
      <c r="D63" s="38" t="s">
        <v>7</v>
      </c>
      <c r="E63" s="38">
        <v>171</v>
      </c>
      <c r="F63" s="39">
        <v>-1.7897587954363E-3</v>
      </c>
      <c r="G63" s="40">
        <v>-0.66777465050968199</v>
      </c>
      <c r="H63" s="41">
        <v>0.50518298594022704</v>
      </c>
    </row>
    <row r="64" spans="1:8">
      <c r="A64" s="47" t="s">
        <v>31</v>
      </c>
      <c r="B64" s="38">
        <v>6</v>
      </c>
      <c r="C64" s="38">
        <v>3</v>
      </c>
      <c r="D64" s="38" t="s">
        <v>8</v>
      </c>
      <c r="E64" s="38">
        <v>171</v>
      </c>
      <c r="F64" s="39">
        <v>5.3860240138024996E-3</v>
      </c>
      <c r="G64" s="40">
        <v>2.2436513989759002</v>
      </c>
      <c r="H64" s="41">
        <v>2.6145884602874599E-2</v>
      </c>
    </row>
    <row r="65" spans="1:8">
      <c r="A65" s="47" t="s">
        <v>31</v>
      </c>
      <c r="B65" s="42">
        <v>6</v>
      </c>
      <c r="C65" s="42">
        <v>3</v>
      </c>
      <c r="D65" s="42" t="s">
        <v>9</v>
      </c>
      <c r="E65" s="42">
        <v>171</v>
      </c>
      <c r="F65" s="43">
        <v>7.1757828092387996E-3</v>
      </c>
      <c r="G65" s="44">
        <v>4.2690337210346696</v>
      </c>
      <c r="H65" s="45">
        <v>3.2563331649839203E-5</v>
      </c>
    </row>
    <row r="66" spans="1:8">
      <c r="A66" s="47" t="s">
        <v>31</v>
      </c>
      <c r="B66" s="38">
        <v>6</v>
      </c>
      <c r="C66" s="38">
        <v>6</v>
      </c>
      <c r="D66" s="38" t="s">
        <v>7</v>
      </c>
      <c r="E66" s="38">
        <v>168</v>
      </c>
      <c r="F66" s="39">
        <v>-3.2730523687108E-3</v>
      </c>
      <c r="G66" s="40">
        <v>-1.9197463948584801</v>
      </c>
      <c r="H66" s="41">
        <v>5.6594586269009303E-2</v>
      </c>
    </row>
    <row r="67" spans="1:8">
      <c r="A67" s="47" t="s">
        <v>31</v>
      </c>
      <c r="B67" s="38">
        <v>6</v>
      </c>
      <c r="C67" s="38">
        <v>6</v>
      </c>
      <c r="D67" s="38" t="s">
        <v>8</v>
      </c>
      <c r="E67" s="38">
        <v>168</v>
      </c>
      <c r="F67" s="39">
        <v>3.4841485371305998E-3</v>
      </c>
      <c r="G67" s="40">
        <v>2.0886326585652801</v>
      </c>
      <c r="H67" s="41">
        <v>3.8257520555333602E-2</v>
      </c>
    </row>
    <row r="68" spans="1:8">
      <c r="A68" s="47" t="s">
        <v>31</v>
      </c>
      <c r="B68" s="42">
        <v>6</v>
      </c>
      <c r="C68" s="42">
        <v>6</v>
      </c>
      <c r="D68" s="42" t="s">
        <v>9</v>
      </c>
      <c r="E68" s="42">
        <v>168</v>
      </c>
      <c r="F68" s="43">
        <v>6.7572009058415004E-3</v>
      </c>
      <c r="G68" s="44">
        <v>6.5788603682269304</v>
      </c>
      <c r="H68" s="45">
        <v>5.8441820337252597E-10</v>
      </c>
    </row>
    <row r="69" spans="1:8">
      <c r="A69" s="47" t="s">
        <v>31</v>
      </c>
      <c r="B69" s="38">
        <v>6</v>
      </c>
      <c r="C69" s="38">
        <v>9</v>
      </c>
      <c r="D69" s="38" t="s">
        <v>7</v>
      </c>
      <c r="E69" s="38">
        <v>165</v>
      </c>
      <c r="F69" s="39">
        <v>-2.8788184845592001E-3</v>
      </c>
      <c r="G69" s="40">
        <v>-2.1482475077282701</v>
      </c>
      <c r="H69" s="41">
        <v>3.3161822781609403E-2</v>
      </c>
    </row>
    <row r="70" spans="1:8">
      <c r="A70" s="47" t="s">
        <v>31</v>
      </c>
      <c r="B70" s="38">
        <v>6</v>
      </c>
      <c r="C70" s="38">
        <v>9</v>
      </c>
      <c r="D70" s="38" t="s">
        <v>8</v>
      </c>
      <c r="E70" s="38">
        <v>165</v>
      </c>
      <c r="F70" s="39">
        <v>1.7394118029625E-3</v>
      </c>
      <c r="G70" s="40">
        <v>1.34297673932705</v>
      </c>
      <c r="H70" s="41">
        <v>0.181135159478408</v>
      </c>
    </row>
    <row r="71" spans="1:8">
      <c r="A71" s="47" t="s">
        <v>31</v>
      </c>
      <c r="B71" s="42">
        <v>6</v>
      </c>
      <c r="C71" s="42">
        <v>9</v>
      </c>
      <c r="D71" s="42" t="s">
        <v>9</v>
      </c>
      <c r="E71" s="42">
        <v>165</v>
      </c>
      <c r="F71" s="43">
        <v>4.6182302875217001E-3</v>
      </c>
      <c r="G71" s="44">
        <v>6.1277339157925903</v>
      </c>
      <c r="H71" s="45">
        <v>6.3964907745234699E-9</v>
      </c>
    </row>
    <row r="72" spans="1:8">
      <c r="A72" s="47" t="s">
        <v>31</v>
      </c>
      <c r="B72" s="38">
        <v>6</v>
      </c>
      <c r="C72" s="38">
        <v>12</v>
      </c>
      <c r="D72" s="38" t="s">
        <v>7</v>
      </c>
      <c r="E72" s="38">
        <v>162</v>
      </c>
      <c r="F72" s="39">
        <v>-1.8412152291008E-3</v>
      </c>
      <c r="G72" s="40">
        <v>-1.5345969150276</v>
      </c>
      <c r="H72" s="41">
        <v>0.12684565934699699</v>
      </c>
    </row>
    <row r="73" spans="1:8">
      <c r="A73" s="47" t="s">
        <v>31</v>
      </c>
      <c r="B73" s="38">
        <v>6</v>
      </c>
      <c r="C73" s="38">
        <v>12</v>
      </c>
      <c r="D73" s="38" t="s">
        <v>8</v>
      </c>
      <c r="E73" s="38">
        <v>162</v>
      </c>
      <c r="F73" s="39">
        <v>8.1439210215796394E-5</v>
      </c>
      <c r="G73" s="40">
        <v>6.8908836393551706E-2</v>
      </c>
      <c r="H73" s="41">
        <v>0.94514769430990897</v>
      </c>
    </row>
    <row r="74" spans="1:8">
      <c r="A74" s="47" t="s">
        <v>31</v>
      </c>
      <c r="B74" s="42">
        <v>6</v>
      </c>
      <c r="C74" s="42">
        <v>12</v>
      </c>
      <c r="D74" s="42" t="s">
        <v>9</v>
      </c>
      <c r="E74" s="42">
        <v>162</v>
      </c>
      <c r="F74" s="43">
        <v>1.9226544393166E-3</v>
      </c>
      <c r="G74" s="44">
        <v>2.82508901814289</v>
      </c>
      <c r="H74" s="45">
        <v>5.3251945823574003E-3</v>
      </c>
    </row>
    <row r="75" spans="1:8">
      <c r="A75" s="47" t="s">
        <v>31</v>
      </c>
      <c r="B75" s="38">
        <v>9</v>
      </c>
      <c r="C75" s="38">
        <v>3</v>
      </c>
      <c r="D75" s="38" t="s">
        <v>7</v>
      </c>
      <c r="E75" s="38">
        <v>168</v>
      </c>
      <c r="F75" s="39">
        <v>-1.7833363158274E-3</v>
      </c>
      <c r="G75" s="40">
        <v>-0.64974280955131902</v>
      </c>
      <c r="H75" s="41">
        <v>0.51675108372359801</v>
      </c>
    </row>
    <row r="76" spans="1:8">
      <c r="A76" s="47" t="s">
        <v>31</v>
      </c>
      <c r="B76" s="38">
        <v>9</v>
      </c>
      <c r="C76" s="38">
        <v>3</v>
      </c>
      <c r="D76" s="38" t="s">
        <v>8</v>
      </c>
      <c r="E76" s="38">
        <v>168</v>
      </c>
      <c r="F76" s="39">
        <v>6.0546761798937997E-3</v>
      </c>
      <c r="G76" s="40">
        <v>2.4945567271681899</v>
      </c>
      <c r="H76" s="41">
        <v>1.3583620880489301E-2</v>
      </c>
    </row>
    <row r="77" spans="1:8">
      <c r="A77" s="47" t="s">
        <v>31</v>
      </c>
      <c r="B77" s="42">
        <v>9</v>
      </c>
      <c r="C77" s="42">
        <v>3</v>
      </c>
      <c r="D77" s="42" t="s">
        <v>9</v>
      </c>
      <c r="E77" s="42">
        <v>168</v>
      </c>
      <c r="F77" s="43">
        <v>7.8380124957212003E-3</v>
      </c>
      <c r="G77" s="44">
        <v>4.4781274550886003</v>
      </c>
      <c r="H77" s="45">
        <v>1.39060391810655E-5</v>
      </c>
    </row>
    <row r="78" spans="1:8">
      <c r="A78" s="47" t="s">
        <v>31</v>
      </c>
      <c r="B78" s="38">
        <v>9</v>
      </c>
      <c r="C78" s="38">
        <v>6</v>
      </c>
      <c r="D78" s="38" t="s">
        <v>7</v>
      </c>
      <c r="E78" s="38">
        <v>165</v>
      </c>
      <c r="F78" s="39">
        <v>-2.6558573053559998E-3</v>
      </c>
      <c r="G78" s="40">
        <v>-1.4702930194254</v>
      </c>
      <c r="H78" s="41">
        <v>0.143398342804332</v>
      </c>
    </row>
    <row r="79" spans="1:8">
      <c r="A79" s="47" t="s">
        <v>31</v>
      </c>
      <c r="B79" s="38">
        <v>9</v>
      </c>
      <c r="C79" s="38">
        <v>6</v>
      </c>
      <c r="D79" s="38" t="s">
        <v>8</v>
      </c>
      <c r="E79" s="38">
        <v>165</v>
      </c>
      <c r="F79" s="39">
        <v>2.6196122351820998E-3</v>
      </c>
      <c r="G79" s="40">
        <v>1.5693504821544899</v>
      </c>
      <c r="H79" s="41">
        <v>0.118493688647597</v>
      </c>
    </row>
    <row r="80" spans="1:8">
      <c r="A80" s="47" t="s">
        <v>31</v>
      </c>
      <c r="B80" s="42">
        <v>9</v>
      </c>
      <c r="C80" s="42">
        <v>6</v>
      </c>
      <c r="D80" s="42" t="s">
        <v>9</v>
      </c>
      <c r="E80" s="42">
        <v>165</v>
      </c>
      <c r="F80" s="43">
        <v>5.2754695405381998E-3</v>
      </c>
      <c r="G80" s="44">
        <v>4.9478380574492604</v>
      </c>
      <c r="H80" s="45">
        <v>1.8461141626351899E-6</v>
      </c>
    </row>
    <row r="81" spans="1:8">
      <c r="A81" s="47" t="s">
        <v>31</v>
      </c>
      <c r="B81" s="38">
        <v>9</v>
      </c>
      <c r="C81" s="38">
        <v>9</v>
      </c>
      <c r="D81" s="38" t="s">
        <v>7</v>
      </c>
      <c r="E81" s="38">
        <v>162</v>
      </c>
      <c r="F81" s="39">
        <v>-1.75931916783E-3</v>
      </c>
      <c r="G81" s="40">
        <v>-1.27512176134845</v>
      </c>
      <c r="H81" s="41">
        <v>0.20410312958091201</v>
      </c>
    </row>
    <row r="82" spans="1:8">
      <c r="A82" s="47" t="s">
        <v>31</v>
      </c>
      <c r="B82" s="38">
        <v>9</v>
      </c>
      <c r="C82" s="38">
        <v>9</v>
      </c>
      <c r="D82" s="38" t="s">
        <v>8</v>
      </c>
      <c r="E82" s="38">
        <v>162</v>
      </c>
      <c r="F82" s="39">
        <v>6.7460726562640003E-4</v>
      </c>
      <c r="G82" s="40">
        <v>0.51508836347352505</v>
      </c>
      <c r="H82" s="41">
        <v>0.60719774897472401</v>
      </c>
    </row>
    <row r="83" spans="1:8">
      <c r="A83" s="47" t="s">
        <v>31</v>
      </c>
      <c r="B83" s="42">
        <v>9</v>
      </c>
      <c r="C83" s="42">
        <v>9</v>
      </c>
      <c r="D83" s="42" t="s">
        <v>9</v>
      </c>
      <c r="E83" s="42">
        <v>162</v>
      </c>
      <c r="F83" s="43">
        <v>2.4339264334565002E-3</v>
      </c>
      <c r="G83" s="44">
        <v>3.0322107946627899</v>
      </c>
      <c r="H83" s="45">
        <v>2.8302995447967E-3</v>
      </c>
    </row>
    <row r="84" spans="1:8">
      <c r="A84" s="47" t="s">
        <v>31</v>
      </c>
      <c r="B84" s="38">
        <v>9</v>
      </c>
      <c r="C84" s="38">
        <v>12</v>
      </c>
      <c r="D84" s="38" t="s">
        <v>7</v>
      </c>
      <c r="E84" s="38">
        <v>159</v>
      </c>
      <c r="F84" s="39">
        <v>-3.1746253293960002E-4</v>
      </c>
      <c r="G84" s="40">
        <v>-0.26420823540654698</v>
      </c>
      <c r="H84" s="41">
        <v>0.79196377693109599</v>
      </c>
    </row>
    <row r="85" spans="1:8">
      <c r="A85" s="47" t="s">
        <v>31</v>
      </c>
      <c r="B85" s="38">
        <v>9</v>
      </c>
      <c r="C85" s="38">
        <v>12</v>
      </c>
      <c r="D85" s="38" t="s">
        <v>8</v>
      </c>
      <c r="E85" s="38">
        <v>159</v>
      </c>
      <c r="F85" s="39">
        <v>-7.1129186217490001E-4</v>
      </c>
      <c r="G85" s="40">
        <v>-0.60721842830072204</v>
      </c>
      <c r="H85" s="41">
        <v>0.54457761152953399</v>
      </c>
    </row>
    <row r="86" spans="1:8">
      <c r="A86" s="47" t="s">
        <v>31</v>
      </c>
      <c r="B86" s="42">
        <v>9</v>
      </c>
      <c r="C86" s="42">
        <v>12</v>
      </c>
      <c r="D86" s="42" t="s">
        <v>9</v>
      </c>
      <c r="E86" s="42">
        <v>159</v>
      </c>
      <c r="F86" s="43">
        <v>-3.9382932923519998E-4</v>
      </c>
      <c r="G86" s="44">
        <v>-0.53992059111328905</v>
      </c>
      <c r="H86" s="45">
        <v>0.59001195990765998</v>
      </c>
    </row>
    <row r="87" spans="1:8">
      <c r="A87" s="47" t="s">
        <v>31</v>
      </c>
      <c r="B87" s="38">
        <v>12</v>
      </c>
      <c r="C87" s="38">
        <v>3</v>
      </c>
      <c r="D87" s="38" t="s">
        <v>7</v>
      </c>
      <c r="E87" s="38">
        <v>165</v>
      </c>
      <c r="F87" s="39">
        <v>-1.198831805789E-4</v>
      </c>
      <c r="G87" s="40">
        <v>-4.3614300273683099E-2</v>
      </c>
      <c r="H87" s="41">
        <v>0.96526490965227496</v>
      </c>
    </row>
    <row r="88" spans="1:8">
      <c r="A88" s="47" t="s">
        <v>31</v>
      </c>
      <c r="B88" s="38">
        <v>12</v>
      </c>
      <c r="C88" s="38">
        <v>3</v>
      </c>
      <c r="D88" s="38" t="s">
        <v>8</v>
      </c>
      <c r="E88" s="38">
        <v>165</v>
      </c>
      <c r="F88" s="39">
        <v>3.5249760649629001E-3</v>
      </c>
      <c r="G88" s="40">
        <v>1.3729581070785599</v>
      </c>
      <c r="H88" s="41">
        <v>0.171639744297649</v>
      </c>
    </row>
    <row r="89" spans="1:8">
      <c r="A89" s="47" t="s">
        <v>31</v>
      </c>
      <c r="B89" s="42">
        <v>12</v>
      </c>
      <c r="C89" s="42">
        <v>3</v>
      </c>
      <c r="D89" s="42" t="s">
        <v>9</v>
      </c>
      <c r="E89" s="42">
        <v>165</v>
      </c>
      <c r="F89" s="43">
        <v>3.6448592455419E-3</v>
      </c>
      <c r="G89" s="44">
        <v>2.1117155355963</v>
      </c>
      <c r="H89" s="45">
        <v>3.62261163185525E-2</v>
      </c>
    </row>
    <row r="90" spans="1:8">
      <c r="A90" s="47" t="s">
        <v>31</v>
      </c>
      <c r="B90" s="38">
        <v>12</v>
      </c>
      <c r="C90" s="38">
        <v>6</v>
      </c>
      <c r="D90" s="38" t="s">
        <v>7</v>
      </c>
      <c r="E90" s="38">
        <v>162</v>
      </c>
      <c r="F90" s="39">
        <v>-3.6304789207929999E-4</v>
      </c>
      <c r="G90" s="40">
        <v>-0.19981260114476801</v>
      </c>
      <c r="H90" s="41">
        <v>0.84187929626900504</v>
      </c>
    </row>
    <row r="91" spans="1:8">
      <c r="A91" s="47" t="s">
        <v>31</v>
      </c>
      <c r="B91" s="38">
        <v>12</v>
      </c>
      <c r="C91" s="38">
        <v>6</v>
      </c>
      <c r="D91" s="38" t="s">
        <v>8</v>
      </c>
      <c r="E91" s="38">
        <v>162</v>
      </c>
      <c r="F91" s="39">
        <v>1.0075577043266999E-3</v>
      </c>
      <c r="G91" s="40">
        <v>0.57001195480766298</v>
      </c>
      <c r="H91" s="41">
        <v>0.56946414330824002</v>
      </c>
    </row>
    <row r="92" spans="1:8">
      <c r="A92" s="47" t="s">
        <v>31</v>
      </c>
      <c r="B92" s="42">
        <v>12</v>
      </c>
      <c r="C92" s="42">
        <v>6</v>
      </c>
      <c r="D92" s="42" t="s">
        <v>9</v>
      </c>
      <c r="E92" s="42">
        <v>162</v>
      </c>
      <c r="F92" s="43">
        <v>1.3706055964061001E-3</v>
      </c>
      <c r="G92" s="44">
        <v>1.1876883662000299</v>
      </c>
      <c r="H92" s="45">
        <v>0.236705440173445</v>
      </c>
    </row>
    <row r="93" spans="1:8">
      <c r="A93" s="47" t="s">
        <v>31</v>
      </c>
      <c r="B93" s="38">
        <v>12</v>
      </c>
      <c r="C93" s="38">
        <v>9</v>
      </c>
      <c r="D93" s="38" t="s">
        <v>7</v>
      </c>
      <c r="E93" s="38">
        <v>159</v>
      </c>
      <c r="F93" s="39">
        <v>6.971383553494E-4</v>
      </c>
      <c r="G93" s="40">
        <v>0.49732803553044302</v>
      </c>
      <c r="H93" s="41">
        <v>0.61964912074025402</v>
      </c>
    </row>
    <row r="94" spans="1:8">
      <c r="A94" s="47" t="s">
        <v>31</v>
      </c>
      <c r="B94" s="38">
        <v>12</v>
      </c>
      <c r="C94" s="38">
        <v>9</v>
      </c>
      <c r="D94" s="38" t="s">
        <v>8</v>
      </c>
      <c r="E94" s="38">
        <v>159</v>
      </c>
      <c r="F94" s="39">
        <v>-4.4948400705809998E-4</v>
      </c>
      <c r="G94" s="40">
        <v>-0.33517055787813699</v>
      </c>
      <c r="H94" s="41">
        <v>0.73794101431496295</v>
      </c>
    </row>
    <row r="95" spans="1:8">
      <c r="A95" s="47" t="s">
        <v>31</v>
      </c>
      <c r="B95" s="42">
        <v>12</v>
      </c>
      <c r="C95" s="42">
        <v>9</v>
      </c>
      <c r="D95" s="42" t="s">
        <v>9</v>
      </c>
      <c r="E95" s="42">
        <v>159</v>
      </c>
      <c r="F95" s="43">
        <v>-1.1466223624075999E-3</v>
      </c>
      <c r="G95" s="44">
        <v>-1.27043818786885</v>
      </c>
      <c r="H95" s="45">
        <v>0.20579614194054999</v>
      </c>
    </row>
    <row r="96" spans="1:8">
      <c r="A96" s="47" t="s">
        <v>31</v>
      </c>
      <c r="B96" s="38">
        <v>12</v>
      </c>
      <c r="C96" s="38">
        <v>12</v>
      </c>
      <c r="D96" s="38" t="s">
        <v>7</v>
      </c>
      <c r="E96" s="38">
        <v>156</v>
      </c>
      <c r="F96" s="39">
        <v>1.8906628402683E-3</v>
      </c>
      <c r="G96" s="40">
        <v>1.5951666192826499</v>
      </c>
      <c r="H96" s="41">
        <v>0.11271194988307399</v>
      </c>
    </row>
    <row r="97" spans="1:8">
      <c r="A97" s="47" t="s">
        <v>31</v>
      </c>
      <c r="B97" s="38">
        <v>12</v>
      </c>
      <c r="C97" s="38">
        <v>12</v>
      </c>
      <c r="D97" s="38" t="s">
        <v>8</v>
      </c>
      <c r="E97" s="38">
        <v>156</v>
      </c>
      <c r="F97" s="39">
        <v>-1.013587556526E-3</v>
      </c>
      <c r="G97" s="40">
        <v>-0.86914902902361502</v>
      </c>
      <c r="H97" s="41">
        <v>0.38610948325240102</v>
      </c>
    </row>
    <row r="98" spans="1:8">
      <c r="A98" s="47" t="s">
        <v>31</v>
      </c>
      <c r="B98" s="42">
        <v>12</v>
      </c>
      <c r="C98" s="42">
        <v>12</v>
      </c>
      <c r="D98" s="42" t="s">
        <v>9</v>
      </c>
      <c r="E98" s="42">
        <v>156</v>
      </c>
      <c r="F98" s="43">
        <v>-2.9042503967942998E-3</v>
      </c>
      <c r="G98" s="44">
        <v>-3.5889873251351201</v>
      </c>
      <c r="H98" s="45">
        <v>4.447938326732E-4</v>
      </c>
    </row>
  </sheetData>
  <autoFilter ref="A2:H2">
    <sortState ref="A3:H98">
      <sortCondition ref="A2"/>
    </sortState>
  </autoFilter>
  <mergeCells count="20">
    <mergeCell ref="A1:H1"/>
    <mergeCell ref="K4:T4"/>
    <mergeCell ref="M5:P5"/>
    <mergeCell ref="Q5:T5"/>
    <mergeCell ref="K7:K12"/>
    <mergeCell ref="L7:L8"/>
    <mergeCell ref="L9:L10"/>
    <mergeCell ref="L11:L12"/>
    <mergeCell ref="K25:K30"/>
    <mergeCell ref="L25:L26"/>
    <mergeCell ref="L27:L28"/>
    <mergeCell ref="L29:L30"/>
    <mergeCell ref="K13:K18"/>
    <mergeCell ref="L13:L14"/>
    <mergeCell ref="L15:L16"/>
    <mergeCell ref="L17:L18"/>
    <mergeCell ref="K19:K24"/>
    <mergeCell ref="L19:L20"/>
    <mergeCell ref="L21:L22"/>
    <mergeCell ref="L23:L24"/>
  </mergeCells>
  <phoneticPr fontId="19" type="noConversion"/>
  <conditionalFormatting sqref="F2">
    <cfRule type="cellIs" dxfId="16" priority="7" operator="lessThan">
      <formula>0</formula>
    </cfRule>
    <cfRule type="cellIs" dxfId="15" priority="8" operator="greaterThan">
      <formula>0</formula>
    </cfRule>
  </conditionalFormatting>
  <conditionalFormatting sqref="H2">
    <cfRule type="cellIs" dxfId="14" priority="6" operator="lessThan">
      <formula>0.05</formula>
    </cfRule>
  </conditionalFormatting>
  <conditionalFormatting sqref="M7:T7 M9:T9 M11:T11 M13:T13 M15:T15 M17:T17 M19:T19 M21:T21 M23:T23 M25:T25 M27:T27 M29:T29">
    <cfRule type="expression" dxfId="13" priority="4">
      <formula>OR(M8&gt;1.96,M8&lt;-1.96)</formula>
    </cfRule>
  </conditionalFormatting>
  <conditionalFormatting sqref="M8:T8 M10:T10 M12:T12">
    <cfRule type="cellIs" dxfId="12" priority="3" operator="between">
      <formula>-1.96</formula>
      <formula>1.96</formula>
    </cfRule>
    <cfRule type="cellIs" dxfId="11" priority="5" operator="notBetween">
      <formula>1.96</formula>
      <formula>-1.96</formula>
    </cfRule>
  </conditionalFormatting>
  <conditionalFormatting sqref="M14:T14 M20:T20 M26:T26 M16:T16 M22:T22 M28:T28 M18:T18 M24:T24 M30:T30">
    <cfRule type="cellIs" dxfId="10" priority="1" operator="between">
      <formula>-1.96</formula>
      <formula>1.96</formula>
    </cfRule>
    <cfRule type="cellIs" dxfId="9" priority="2" operator="notBetween">
      <formula>1.96</formula>
      <formula>-1.96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J&amp;T</vt:lpstr>
      <vt:lpstr>mv150_10y</vt:lpstr>
      <vt:lpstr>mv150_10s</vt:lpstr>
      <vt:lpstr>mv150_15y</vt:lpstr>
      <vt:lpstr>mv150_15s</vt:lpstr>
      <vt:lpstr>over10_10y</vt:lpstr>
      <vt:lpstr>over10_10s</vt:lpstr>
      <vt:lpstr>over10_15y</vt:lpstr>
      <vt:lpstr>over10_15s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詹惟涵</cp:lastModifiedBy>
  <dcterms:created xsi:type="dcterms:W3CDTF">2025-07-14T12:43:58Z</dcterms:created>
  <dcterms:modified xsi:type="dcterms:W3CDTF">2025-08-08T05:21:02Z</dcterms:modified>
</cp:coreProperties>
</file>