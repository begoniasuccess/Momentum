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gonia-jan\Desktop\Begonia\myCPU\myData\pythonTool\Momentum\data\analysis\"/>
    </mc:Choice>
  </mc:AlternateContent>
  <bookViews>
    <workbookView xWindow="0" yWindow="0" windowWidth="26610" windowHeight="12720" activeTab="1"/>
  </bookViews>
  <sheets>
    <sheet name="csv" sheetId="1" r:id="rId1"/>
    <sheet name="panel" sheetId="2" r:id="rId2"/>
  </sheets>
  <calcPr calcId="0"/>
</workbook>
</file>

<file path=xl/calcChain.xml><?xml version="1.0" encoding="utf-8"?>
<calcChain xmlns="http://schemas.openxmlformats.org/spreadsheetml/2006/main">
  <c r="Q30" i="2" l="1"/>
  <c r="Q31" i="2"/>
  <c r="Q32" i="2"/>
  <c r="Q33" i="2"/>
  <c r="Q34" i="2"/>
  <c r="Q35" i="2"/>
  <c r="R30" i="2"/>
  <c r="R31" i="2"/>
  <c r="R32" i="2"/>
  <c r="R33" i="2"/>
  <c r="R34" i="2"/>
  <c r="R35" i="2"/>
  <c r="P35" i="2"/>
  <c r="P33" i="2"/>
  <c r="P32" i="2"/>
  <c r="P31" i="2"/>
  <c r="P34" i="2"/>
  <c r="P30" i="2"/>
  <c r="O35" i="2"/>
  <c r="O34" i="2"/>
  <c r="O33" i="2"/>
  <c r="O32" i="2"/>
  <c r="O31" i="2"/>
  <c r="O30" i="2"/>
  <c r="O22" i="2"/>
  <c r="O20" i="2"/>
  <c r="O18" i="2"/>
  <c r="O21" i="2"/>
  <c r="O19" i="2"/>
  <c r="O17" i="2"/>
  <c r="N22" i="2"/>
  <c r="N20" i="2"/>
  <c r="N18" i="2"/>
  <c r="N21" i="2"/>
  <c r="N19" i="2"/>
  <c r="N17" i="2"/>
  <c r="Q16" i="2"/>
  <c r="Q14" i="2"/>
  <c r="Q12" i="2"/>
  <c r="Q15" i="2"/>
  <c r="Q13" i="2"/>
  <c r="Q11" i="2"/>
  <c r="P16" i="2"/>
  <c r="P14" i="2"/>
  <c r="P12" i="2"/>
  <c r="P15" i="2"/>
  <c r="P13" i="2"/>
  <c r="P11" i="2"/>
  <c r="O16" i="2"/>
  <c r="O14" i="2"/>
  <c r="O12" i="2"/>
  <c r="O15" i="2"/>
  <c r="O13" i="2"/>
  <c r="O11" i="2"/>
  <c r="N16" i="2"/>
  <c r="N14" i="2"/>
  <c r="N12" i="2"/>
  <c r="N15" i="2"/>
  <c r="N13" i="2"/>
  <c r="N11" i="2"/>
  <c r="Q10" i="2"/>
  <c r="Q8" i="2"/>
  <c r="Q6" i="2"/>
  <c r="Q7" i="2"/>
  <c r="Q9" i="2"/>
  <c r="Q5" i="2"/>
  <c r="P10" i="2"/>
  <c r="P8" i="2"/>
  <c r="P6" i="2"/>
  <c r="P9" i="2"/>
  <c r="P7" i="2"/>
  <c r="P5" i="2"/>
  <c r="O10" i="2"/>
  <c r="O8" i="2"/>
  <c r="O6" i="2"/>
  <c r="O9" i="2"/>
  <c r="O7" i="2"/>
  <c r="O5" i="2"/>
  <c r="N10" i="2"/>
  <c r="N8" i="2"/>
  <c r="N6" i="2"/>
  <c r="N9" i="2"/>
  <c r="N7" i="2"/>
  <c r="N5" i="2"/>
</calcChain>
</file>

<file path=xl/sharedStrings.xml><?xml version="1.0" encoding="utf-8"?>
<sst xmlns="http://schemas.openxmlformats.org/spreadsheetml/2006/main" count="168" uniqueCount="41">
  <si>
    <t>J</t>
  </si>
  <si>
    <t>Remark</t>
  </si>
  <si>
    <t>A_K3</t>
  </si>
  <si>
    <t>A_K3_t</t>
  </si>
  <si>
    <t>A_K6</t>
  </si>
  <si>
    <t>A_K6_t</t>
  </si>
  <si>
    <t>A_K9</t>
  </si>
  <si>
    <t>A_K9_t</t>
  </si>
  <si>
    <t>A_K12</t>
  </si>
  <si>
    <t>A_K12_t</t>
  </si>
  <si>
    <t>B_K3</t>
  </si>
  <si>
    <t>B_K3_t</t>
  </si>
  <si>
    <t>B_K6</t>
  </si>
  <si>
    <t>B_K6_t</t>
  </si>
  <si>
    <t>B_K9</t>
  </si>
  <si>
    <t>B_K9_t</t>
  </si>
  <si>
    <t>B_K12</t>
  </si>
  <si>
    <t>B_K12_t</t>
  </si>
  <si>
    <t>Sell</t>
  </si>
  <si>
    <t>Buy</t>
  </si>
  <si>
    <t>Buy-sell</t>
  </si>
  <si>
    <t>remark</t>
  </si>
  <si>
    <t>mean</t>
  </si>
  <si>
    <t>t_stat</t>
  </si>
  <si>
    <t>NYSE &amp; AMEX 1965~1989</t>
    <phoneticPr fontId="18" type="noConversion"/>
  </si>
  <si>
    <t>A</t>
    <phoneticPr fontId="18" type="noConversion"/>
  </si>
  <si>
    <t>loser</t>
  </si>
  <si>
    <t>winner</t>
  </si>
  <si>
    <t>winner - loser</t>
  </si>
  <si>
    <t>J</t>
    <phoneticPr fontId="18" type="noConversion"/>
  </si>
  <si>
    <t>K</t>
    <phoneticPr fontId="18" type="noConversion"/>
  </si>
  <si>
    <t>B</t>
    <phoneticPr fontId="18" type="noConversion"/>
  </si>
  <si>
    <t>3</t>
  </si>
  <si>
    <t>6</t>
  </si>
  <si>
    <t>9</t>
  </si>
  <si>
    <t>12</t>
  </si>
  <si>
    <t>Panel A</t>
    <phoneticPr fontId="18" type="noConversion"/>
  </si>
  <si>
    <t>Panel B</t>
    <phoneticPr fontId="18" type="noConversion"/>
  </si>
  <si>
    <t>J=</t>
    <phoneticPr fontId="18" type="noConversion"/>
  </si>
  <si>
    <t>K=</t>
    <phoneticPr fontId="18" type="noConversion"/>
  </si>
  <si>
    <t>NYSE &amp; AMEX 1965~1989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</si>
</sst>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/>
      <right style="thin">
        <color theme="2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 style="thin">
        <color theme="2" tint="-0.499984740745262"/>
      </right>
      <top style="medium">
        <color theme="0" tint="-0.499984740745262"/>
      </top>
      <bottom/>
      <diagonal/>
    </border>
    <border>
      <left/>
      <right style="thin">
        <color theme="2" tint="-0.499984740745262"/>
      </right>
      <top/>
      <bottom style="dashDotDot">
        <color theme="2" tint="-0.499984740745262"/>
      </bottom>
      <diagonal/>
    </border>
    <border>
      <left/>
      <right/>
      <top/>
      <bottom style="dashDotDot">
        <color theme="2" tint="-0.499984740745262"/>
      </bottom>
      <diagonal/>
    </border>
    <border>
      <left/>
      <right style="thin">
        <color indexed="64"/>
      </right>
      <top/>
      <bottom style="dashDotDot">
        <color theme="2" tint="-0.499984740745262"/>
      </bottom>
      <diagonal/>
    </border>
    <border>
      <left/>
      <right style="thin">
        <color theme="2" tint="-0.499984740745262"/>
      </right>
      <top style="dashDotDot">
        <color theme="2" tint="-0.499984740745262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theme="2" tint="-0.499984740745262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theme="2" tint="-0.499984740745262"/>
      </right>
      <top style="thin">
        <color theme="0" tint="-0.499984740745262"/>
      </top>
      <bottom/>
      <diagonal/>
    </border>
    <border>
      <left/>
      <right style="thin">
        <color theme="2" tint="-0.499984740745262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37" borderId="0" xfId="0" applyFill="1">
      <alignment vertical="center"/>
    </xf>
    <xf numFmtId="0" fontId="0" fillId="36" borderId="0" xfId="0" applyFill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34" borderId="18" xfId="0" applyFont="1" applyFill="1" applyBorder="1" applyAlignment="1">
      <alignment horizontal="center" vertical="center"/>
    </xf>
    <xf numFmtId="0" fontId="19" fillId="34" borderId="19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10" fontId="19" fillId="33" borderId="21" xfId="1" applyNumberFormat="1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0" fontId="19" fillId="33" borderId="23" xfId="0" applyFont="1" applyFill="1" applyBorder="1" applyAlignment="1">
      <alignment horizontal="center" vertical="center"/>
    </xf>
    <xf numFmtId="0" fontId="19" fillId="35" borderId="25" xfId="0" applyFont="1" applyFill="1" applyBorder="1" applyAlignment="1">
      <alignment horizontal="center" vertical="center"/>
    </xf>
    <xf numFmtId="0" fontId="19" fillId="36" borderId="25" xfId="0" applyFont="1" applyFill="1" applyBorder="1" applyAlignment="1">
      <alignment horizontal="center" vertical="center"/>
    </xf>
    <xf numFmtId="0" fontId="19" fillId="36" borderId="26" xfId="0" applyFont="1" applyFill="1" applyBorder="1" applyAlignment="1">
      <alignment horizontal="center" vertical="center"/>
    </xf>
    <xf numFmtId="0" fontId="19" fillId="36" borderId="24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27" xfId="0" applyFont="1" applyBorder="1" applyAlignment="1">
      <alignment vertical="center"/>
    </xf>
    <xf numFmtId="0" fontId="21" fillId="0" borderId="28" xfId="0" applyFont="1" applyBorder="1" applyAlignment="1">
      <alignment vertical="center"/>
    </xf>
    <xf numFmtId="0" fontId="21" fillId="35" borderId="27" xfId="0" applyFont="1" applyFill="1" applyBorder="1" applyAlignment="1">
      <alignment horizontal="center" vertical="center"/>
    </xf>
    <xf numFmtId="0" fontId="21" fillId="35" borderId="28" xfId="0" applyFont="1" applyFill="1" applyBorder="1" applyAlignment="1">
      <alignment horizontal="center" vertical="center"/>
    </xf>
    <xf numFmtId="0" fontId="21" fillId="35" borderId="29" xfId="0" applyFont="1" applyFill="1" applyBorder="1" applyAlignment="1">
      <alignment horizontal="center" vertical="center"/>
    </xf>
    <xf numFmtId="0" fontId="21" fillId="36" borderId="27" xfId="0" applyFont="1" applyFill="1" applyBorder="1" applyAlignment="1">
      <alignment horizontal="center" vertical="center"/>
    </xf>
    <xf numFmtId="0" fontId="21" fillId="36" borderId="28" xfId="0" applyFont="1" applyFill="1" applyBorder="1" applyAlignment="1">
      <alignment horizontal="center" vertical="center"/>
    </xf>
    <xf numFmtId="0" fontId="21" fillId="36" borderId="29" xfId="0" applyFont="1" applyFill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right" vertical="center"/>
    </xf>
    <xf numFmtId="0" fontId="21" fillId="0" borderId="32" xfId="0" applyNumberFormat="1" applyFont="1" applyBorder="1" applyAlignment="1">
      <alignment horizontal="center" vertical="center"/>
    </xf>
    <xf numFmtId="0" fontId="21" fillId="0" borderId="33" xfId="0" applyNumberFormat="1" applyFont="1" applyBorder="1" applyAlignment="1">
      <alignment horizontal="center" vertical="center"/>
    </xf>
    <xf numFmtId="0" fontId="21" fillId="0" borderId="34" xfId="0" applyNumberFormat="1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10" fontId="20" fillId="0" borderId="0" xfId="1" applyNumberFormat="1" applyFont="1" applyBorder="1" applyAlignment="1">
      <alignment horizontal="center" vertical="center"/>
    </xf>
    <xf numFmtId="10" fontId="20" fillId="0" borderId="14" xfId="1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0" fillId="0" borderId="37" xfId="0" applyNumberFormat="1" applyFont="1" applyBorder="1" applyAlignment="1">
      <alignment horizontal="center" vertical="center"/>
    </xf>
    <xf numFmtId="0" fontId="20" fillId="0" borderId="38" xfId="0" applyNumberFormat="1" applyFont="1" applyBorder="1" applyAlignment="1">
      <alignment horizontal="center" vertical="center"/>
    </xf>
    <xf numFmtId="0" fontId="21" fillId="0" borderId="12" xfId="0" applyNumberFormat="1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0" fillId="0" borderId="10" xfId="0" applyNumberFormat="1" applyFont="1" applyBorder="1" applyAlignment="1">
      <alignment horizontal="center" vertical="center"/>
    </xf>
    <xf numFmtId="0" fontId="20" fillId="0" borderId="42" xfId="0" applyNumberFormat="1" applyFont="1" applyBorder="1" applyAlignment="1">
      <alignment horizontal="center" vertical="center"/>
    </xf>
    <xf numFmtId="0" fontId="21" fillId="0" borderId="11" xfId="0" applyNumberFormat="1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0" fillId="0" borderId="16" xfId="0" applyNumberFormat="1" applyFont="1" applyBorder="1" applyAlignment="1">
      <alignment horizontal="center" vertical="center"/>
    </xf>
    <xf numFmtId="0" fontId="20" fillId="0" borderId="17" xfId="0" applyNumberFormat="1" applyFont="1" applyBorder="1" applyAlignment="1">
      <alignment horizontal="center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9"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FF0000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19050</xdr:colOff>
      <xdr:row>1</xdr:row>
      <xdr:rowOff>9525</xdr:rowOff>
    </xdr:from>
    <xdr:to>
      <xdr:col>32</xdr:col>
      <xdr:colOff>9525</xdr:colOff>
      <xdr:row>25</xdr:row>
      <xdr:rowOff>166826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4650" y="219075"/>
          <a:ext cx="6848475" cy="5196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pane ySplit="1" topLeftCell="A2" activePane="bottomLeft" state="frozen"/>
      <selection pane="bottomLeft" activeCell="L17" sqref="L17"/>
    </sheetView>
  </sheetViews>
  <sheetFormatPr defaultRowHeight="16.5"/>
  <cols>
    <col min="1" max="1" width="7.125" customWidth="1"/>
    <col min="4" max="4" width="15.25" customWidth="1"/>
    <col min="11" max="11" width="16" customWidth="1"/>
  </cols>
  <sheetData>
    <row r="1" spans="1:1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3</v>
      </c>
      <c r="B2" t="s">
        <v>18</v>
      </c>
      <c r="C2">
        <v>1.0800000000000001E-2</v>
      </c>
      <c r="D2">
        <v>2.16</v>
      </c>
      <c r="E2">
        <v>9.1000000000000004E-3</v>
      </c>
      <c r="F2">
        <v>1.87</v>
      </c>
      <c r="G2">
        <v>9.1999999999999998E-3</v>
      </c>
      <c r="H2">
        <v>1.91</v>
      </c>
      <c r="I2">
        <v>8.6999999999999994E-3</v>
      </c>
      <c r="J2">
        <v>1.87</v>
      </c>
      <c r="K2">
        <v>8.3000000000000001E-3</v>
      </c>
      <c r="L2">
        <v>1.67</v>
      </c>
      <c r="M2">
        <v>7.9000000000000008E-3</v>
      </c>
      <c r="N2">
        <v>1.64</v>
      </c>
      <c r="O2">
        <v>8.3999999999999995E-3</v>
      </c>
      <c r="P2">
        <v>1.77</v>
      </c>
      <c r="Q2">
        <v>8.3000000000000001E-3</v>
      </c>
      <c r="R2">
        <v>1.67</v>
      </c>
    </row>
    <row r="3" spans="1:18">
      <c r="A3">
        <v>3</v>
      </c>
      <c r="B3" t="s">
        <v>19</v>
      </c>
      <c r="C3">
        <v>1.4E-2</v>
      </c>
      <c r="D3">
        <v>3.57</v>
      </c>
      <c r="E3">
        <v>1.49E-2</v>
      </c>
      <c r="F3">
        <v>3.78</v>
      </c>
      <c r="G3">
        <v>1.52E-2</v>
      </c>
      <c r="H3">
        <v>3.83</v>
      </c>
      <c r="I3">
        <v>1.5599999999999999E-2</v>
      </c>
      <c r="J3">
        <v>3.89</v>
      </c>
      <c r="K3">
        <v>1.5599999999999999E-2</v>
      </c>
      <c r="L3">
        <v>3.95</v>
      </c>
      <c r="M3">
        <v>1.5800000000000002E-2</v>
      </c>
      <c r="N3">
        <v>3.98</v>
      </c>
      <c r="O3">
        <v>1.5800000000000002E-2</v>
      </c>
      <c r="P3">
        <v>3.96</v>
      </c>
      <c r="Q3">
        <v>1.6E-2</v>
      </c>
      <c r="R3">
        <v>3.87</v>
      </c>
    </row>
    <row r="4" spans="1:18">
      <c r="A4">
        <v>3</v>
      </c>
      <c r="B4" t="s">
        <v>20</v>
      </c>
      <c r="C4">
        <v>3.2000000000000002E-3</v>
      </c>
      <c r="D4">
        <v>1.1000000000000001</v>
      </c>
      <c r="E4">
        <v>5.7999999999999996E-3</v>
      </c>
      <c r="F4">
        <v>2.29</v>
      </c>
      <c r="G4">
        <v>6.1000000000000004E-3</v>
      </c>
      <c r="H4">
        <v>2.69</v>
      </c>
      <c r="I4">
        <v>6.8999999999999999E-3</v>
      </c>
      <c r="J4">
        <v>3.53</v>
      </c>
      <c r="K4">
        <v>7.4000000000000003E-3</v>
      </c>
      <c r="L4">
        <v>2.61</v>
      </c>
      <c r="M4">
        <v>8.0000000000000002E-3</v>
      </c>
      <c r="N4">
        <v>3.06</v>
      </c>
      <c r="O4">
        <v>7.4000000000000003E-3</v>
      </c>
      <c r="P4">
        <v>3.07</v>
      </c>
      <c r="Q4">
        <v>7.7000000000000002E-3</v>
      </c>
      <c r="R4">
        <v>4</v>
      </c>
    </row>
    <row r="5" spans="1:18">
      <c r="A5">
        <v>6</v>
      </c>
      <c r="B5" t="s">
        <v>18</v>
      </c>
      <c r="C5">
        <v>8.6999999999999994E-3</v>
      </c>
      <c r="D5">
        <v>1.67</v>
      </c>
      <c r="E5">
        <v>7.9000000000000008E-3</v>
      </c>
      <c r="F5">
        <v>1.56</v>
      </c>
      <c r="G5">
        <v>7.1999999999999998E-3</v>
      </c>
      <c r="H5">
        <v>1.48</v>
      </c>
      <c r="I5">
        <v>6.6E-3</v>
      </c>
      <c r="J5">
        <v>1.66</v>
      </c>
      <c r="K5">
        <v>6.6E-3</v>
      </c>
      <c r="L5">
        <v>1.28</v>
      </c>
      <c r="M5">
        <v>6.4999999999999997E-3</v>
      </c>
      <c r="N5">
        <v>1.35</v>
      </c>
      <c r="O5">
        <v>7.1000000000000004E-3</v>
      </c>
      <c r="P5">
        <v>1.37</v>
      </c>
      <c r="Q5">
        <v>6.7999999999999996E-3</v>
      </c>
      <c r="R5">
        <v>1.58</v>
      </c>
    </row>
    <row r="6" spans="1:18">
      <c r="A6">
        <v>6</v>
      </c>
      <c r="B6" t="s">
        <v>19</v>
      </c>
      <c r="C6">
        <v>1.7100000000000001E-2</v>
      </c>
      <c r="D6">
        <v>4.28</v>
      </c>
      <c r="E6">
        <v>1.7399999999999999E-2</v>
      </c>
      <c r="F6">
        <v>4.33</v>
      </c>
      <c r="G6">
        <v>1.7399999999999999E-2</v>
      </c>
      <c r="H6">
        <v>4.3099999999999996</v>
      </c>
      <c r="I6">
        <v>1.66E-2</v>
      </c>
      <c r="J6">
        <v>4.13</v>
      </c>
      <c r="K6">
        <v>1.77E-2</v>
      </c>
      <c r="L6">
        <v>4.47</v>
      </c>
      <c r="M6">
        <v>1.7600000000000001E-2</v>
      </c>
      <c r="N6">
        <v>4.41</v>
      </c>
      <c r="O6">
        <v>1.7100000000000001E-2</v>
      </c>
      <c r="P6">
        <v>4.32</v>
      </c>
      <c r="Q6">
        <v>1.6299999999999999E-2</v>
      </c>
      <c r="R6">
        <v>4.13</v>
      </c>
    </row>
    <row r="7" spans="1:18">
      <c r="A7">
        <v>6</v>
      </c>
      <c r="B7" t="s">
        <v>20</v>
      </c>
      <c r="C7">
        <v>8.3999999999999995E-3</v>
      </c>
      <c r="D7">
        <v>2.44</v>
      </c>
      <c r="E7">
        <v>9.4999999999999998E-3</v>
      </c>
      <c r="F7">
        <v>3.07</v>
      </c>
      <c r="G7">
        <v>1.0200000000000001E-2</v>
      </c>
      <c r="H7">
        <v>3.76</v>
      </c>
      <c r="I7">
        <v>8.6E-3</v>
      </c>
      <c r="J7">
        <v>3.36</v>
      </c>
      <c r="K7">
        <v>1.11E-2</v>
      </c>
      <c r="L7">
        <v>3.37</v>
      </c>
      <c r="M7">
        <v>1.11E-2</v>
      </c>
      <c r="N7">
        <v>3.61</v>
      </c>
      <c r="O7">
        <v>0.01</v>
      </c>
      <c r="P7">
        <v>3.41</v>
      </c>
      <c r="Q7">
        <v>8.9999999999999993E-3</v>
      </c>
      <c r="R7">
        <v>3.54</v>
      </c>
    </row>
    <row r="8" spans="1:18">
      <c r="A8">
        <v>9</v>
      </c>
      <c r="B8" t="s">
        <v>18</v>
      </c>
      <c r="C8">
        <v>7.7000000000000002E-3</v>
      </c>
      <c r="D8">
        <v>1.47</v>
      </c>
      <c r="E8">
        <v>6.4999999999999997E-3</v>
      </c>
      <c r="F8">
        <v>1.29</v>
      </c>
      <c r="G8">
        <v>7.1000000000000004E-3</v>
      </c>
      <c r="H8">
        <v>1.43</v>
      </c>
      <c r="I8">
        <v>6.1000000000000004E-3</v>
      </c>
      <c r="J8">
        <v>1.66</v>
      </c>
      <c r="K8">
        <v>5.7999999999999996E-3</v>
      </c>
      <c r="L8">
        <v>1.1299999999999999</v>
      </c>
      <c r="M8">
        <v>5.7999999999999996E-3</v>
      </c>
      <c r="N8">
        <v>1.1499999999999999</v>
      </c>
      <c r="O8">
        <v>5.4000000000000003E-3</v>
      </c>
      <c r="P8">
        <v>1.1399999999999999</v>
      </c>
      <c r="Q8">
        <v>5.3E-3</v>
      </c>
      <c r="R8">
        <v>1.26</v>
      </c>
    </row>
    <row r="9" spans="1:18">
      <c r="A9">
        <v>9</v>
      </c>
      <c r="B9" t="s">
        <v>19</v>
      </c>
      <c r="C9">
        <v>1.8599999999999998E-2</v>
      </c>
      <c r="D9">
        <v>4.5599999999999996</v>
      </c>
      <c r="E9">
        <v>1.8599999999999998E-2</v>
      </c>
      <c r="F9">
        <v>4.53</v>
      </c>
      <c r="G9">
        <v>1.7600000000000001E-2</v>
      </c>
      <c r="H9">
        <v>4.3</v>
      </c>
      <c r="I9">
        <v>1.6400000000000001E-2</v>
      </c>
      <c r="J9">
        <v>3.97</v>
      </c>
      <c r="K9">
        <v>1.72E-2</v>
      </c>
      <c r="L9">
        <v>4.72</v>
      </c>
      <c r="M9">
        <v>1.7100000000000001E-2</v>
      </c>
      <c r="N9">
        <v>4.6399999999999997</v>
      </c>
      <c r="O9">
        <v>1.61E-2</v>
      </c>
      <c r="P9">
        <v>4.49</v>
      </c>
      <c r="Q9">
        <v>1.4999999999999999E-2</v>
      </c>
      <c r="R9">
        <v>4.2</v>
      </c>
    </row>
    <row r="10" spans="1:18">
      <c r="A10">
        <v>9</v>
      </c>
      <c r="B10" t="s">
        <v>20</v>
      </c>
      <c r="C10">
        <v>1.09E-2</v>
      </c>
      <c r="D10">
        <v>3.03</v>
      </c>
      <c r="E10">
        <v>1.21E-2</v>
      </c>
      <c r="F10">
        <v>3.78</v>
      </c>
      <c r="G10">
        <v>1.0500000000000001E-2</v>
      </c>
      <c r="H10">
        <v>3.47</v>
      </c>
      <c r="I10">
        <v>9.1999999999999998E-3</v>
      </c>
      <c r="J10">
        <v>2.89</v>
      </c>
      <c r="K10">
        <v>1.14E-2</v>
      </c>
      <c r="L10">
        <v>3.4</v>
      </c>
      <c r="M10">
        <v>1.1299999999999999E-2</v>
      </c>
      <c r="N10">
        <v>3.79</v>
      </c>
      <c r="O10">
        <v>1.06E-2</v>
      </c>
      <c r="P10">
        <v>3.6</v>
      </c>
      <c r="Q10">
        <v>9.7000000000000003E-3</v>
      </c>
      <c r="R10">
        <v>3.39</v>
      </c>
    </row>
    <row r="11" spans="1:18">
      <c r="A11">
        <v>12</v>
      </c>
      <c r="B11" t="s">
        <v>18</v>
      </c>
      <c r="C11">
        <v>6.0000000000000001E-3</v>
      </c>
      <c r="D11">
        <v>1.17</v>
      </c>
      <c r="E11">
        <v>6.4999999999999997E-3</v>
      </c>
      <c r="F11">
        <v>1.29</v>
      </c>
      <c r="G11">
        <v>7.4999999999999997E-3</v>
      </c>
      <c r="H11">
        <v>1.48</v>
      </c>
      <c r="I11">
        <v>8.6999999999999994E-3</v>
      </c>
      <c r="J11">
        <v>1.74</v>
      </c>
      <c r="K11">
        <v>4.7999999999999996E-3</v>
      </c>
      <c r="L11">
        <v>0.96</v>
      </c>
      <c r="M11">
        <v>5.1999999999999998E-3</v>
      </c>
      <c r="N11">
        <v>1.07</v>
      </c>
      <c r="O11">
        <v>5.4000000000000003E-3</v>
      </c>
      <c r="P11">
        <v>1.1299999999999999</v>
      </c>
      <c r="Q11">
        <v>6.0000000000000001E-3</v>
      </c>
      <c r="R11">
        <v>1.36</v>
      </c>
    </row>
    <row r="12" spans="1:18">
      <c r="A12">
        <v>12</v>
      </c>
      <c r="B12" t="s">
        <v>19</v>
      </c>
      <c r="C12">
        <v>1.9199999999999998E-2</v>
      </c>
      <c r="D12">
        <v>4.63</v>
      </c>
      <c r="E12">
        <v>1.7899999999999999E-2</v>
      </c>
      <c r="F12">
        <v>4.3600000000000003</v>
      </c>
      <c r="G12">
        <v>1.6799999999999999E-2</v>
      </c>
      <c r="H12">
        <v>4.0999999999999996</v>
      </c>
      <c r="I12">
        <v>1.55E-2</v>
      </c>
      <c r="J12">
        <v>3.81</v>
      </c>
      <c r="K12">
        <v>1.9599999999999999E-2</v>
      </c>
      <c r="L12">
        <v>4.7300000000000004</v>
      </c>
      <c r="M12">
        <v>1.7899999999999999E-2</v>
      </c>
      <c r="N12">
        <v>4.3600000000000003</v>
      </c>
      <c r="O12">
        <v>1.77E-2</v>
      </c>
      <c r="P12">
        <v>4.28</v>
      </c>
      <c r="Q12">
        <v>1.54E-2</v>
      </c>
      <c r="R12">
        <v>3.79</v>
      </c>
    </row>
    <row r="13" spans="1:18">
      <c r="A13">
        <v>12</v>
      </c>
      <c r="B13" t="s">
        <v>20</v>
      </c>
      <c r="C13">
        <v>1.3100000000000001E-2</v>
      </c>
      <c r="D13">
        <v>3.74</v>
      </c>
      <c r="E13">
        <v>1.14E-2</v>
      </c>
      <c r="F13">
        <v>3.4</v>
      </c>
      <c r="G13">
        <v>9.2999999999999992E-3</v>
      </c>
      <c r="H13">
        <v>2.95</v>
      </c>
      <c r="I13">
        <v>6.7999999999999996E-3</v>
      </c>
      <c r="J13">
        <v>2.25</v>
      </c>
      <c r="K13">
        <v>1.49E-2</v>
      </c>
      <c r="L13">
        <v>4.28</v>
      </c>
      <c r="M13">
        <v>1.21E-2</v>
      </c>
      <c r="N13">
        <v>3.65</v>
      </c>
      <c r="O13">
        <v>9.5999999999999992E-3</v>
      </c>
      <c r="P13">
        <v>3.09</v>
      </c>
      <c r="Q13">
        <v>9.4000000000000004E-3</v>
      </c>
      <c r="R13">
        <v>2.31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tabSelected="1" workbookViewId="0">
      <selection activeCell="K5" sqref="K5"/>
    </sheetView>
  </sheetViews>
  <sheetFormatPr defaultRowHeight="16.5"/>
  <cols>
    <col min="1" max="2" width="4" style="3" bestFit="1" customWidth="1"/>
    <col min="3" max="3" width="14.625" style="3" bestFit="1" customWidth="1"/>
    <col min="4" max="4" width="7.5" style="3" bestFit="1" customWidth="1"/>
    <col min="5" max="5" width="6.625" style="3" bestFit="1" customWidth="1"/>
    <col min="6" max="7" width="4" style="3" customWidth="1"/>
    <col min="8" max="8" width="14.625" style="3" customWidth="1"/>
    <col min="9" max="9" width="7.5" style="3" customWidth="1"/>
    <col min="10" max="10" width="6.625" style="3" customWidth="1"/>
    <col min="13" max="13" width="13.5" customWidth="1"/>
    <col min="14" max="21" width="9.25" customWidth="1"/>
  </cols>
  <sheetData>
    <row r="1" spans="1:21">
      <c r="A1" s="11" t="s">
        <v>24</v>
      </c>
      <c r="B1" s="11"/>
      <c r="C1" s="11"/>
      <c r="D1" s="11"/>
      <c r="E1" s="11"/>
      <c r="F1" s="11"/>
      <c r="G1" s="11"/>
      <c r="H1" s="11"/>
      <c r="I1" s="11"/>
      <c r="J1" s="12"/>
    </row>
    <row r="2" spans="1:21">
      <c r="A2" s="18" t="s">
        <v>25</v>
      </c>
      <c r="B2" s="18"/>
      <c r="C2" s="18"/>
      <c r="D2" s="18"/>
      <c r="E2" s="18"/>
      <c r="F2" s="21" t="s">
        <v>31</v>
      </c>
      <c r="G2" s="19"/>
      <c r="H2" s="19"/>
      <c r="I2" s="19"/>
      <c r="J2" s="20"/>
      <c r="L2" s="25" t="s">
        <v>40</v>
      </c>
      <c r="M2" s="25"/>
      <c r="N2" s="25"/>
      <c r="O2" s="25"/>
      <c r="P2" s="25"/>
      <c r="Q2" s="25"/>
      <c r="R2" s="25"/>
      <c r="S2" s="25"/>
      <c r="T2" s="25"/>
      <c r="U2" s="25"/>
    </row>
    <row r="3" spans="1:21">
      <c r="A3" s="14" t="s">
        <v>29</v>
      </c>
      <c r="B3" s="14" t="s">
        <v>30</v>
      </c>
      <c r="C3" s="14" t="s">
        <v>21</v>
      </c>
      <c r="D3" s="15" t="s">
        <v>22</v>
      </c>
      <c r="E3" s="16" t="s">
        <v>23</v>
      </c>
      <c r="F3" s="13" t="s">
        <v>29</v>
      </c>
      <c r="G3" s="14" t="s">
        <v>30</v>
      </c>
      <c r="H3" s="14" t="s">
        <v>21</v>
      </c>
      <c r="I3" s="15" t="s">
        <v>22</v>
      </c>
      <c r="J3" s="17" t="s">
        <v>23</v>
      </c>
      <c r="L3" s="26"/>
      <c r="M3" s="27"/>
      <c r="N3" s="28" t="s">
        <v>36</v>
      </c>
      <c r="O3" s="29"/>
      <c r="P3" s="29"/>
      <c r="Q3" s="30"/>
      <c r="R3" s="31" t="s">
        <v>37</v>
      </c>
      <c r="S3" s="32"/>
      <c r="T3" s="32"/>
      <c r="U3" s="33"/>
    </row>
    <row r="4" spans="1:21" ht="17.25" thickBot="1">
      <c r="A4" s="4">
        <v>3</v>
      </c>
      <c r="B4" s="4">
        <v>3</v>
      </c>
      <c r="C4" s="4" t="s">
        <v>26</v>
      </c>
      <c r="D4" s="5">
        <v>1.0800000000000001E-2</v>
      </c>
      <c r="E4" s="5">
        <v>2.16</v>
      </c>
      <c r="F4" s="22">
        <v>3</v>
      </c>
      <c r="G4" s="4">
        <v>3</v>
      </c>
      <c r="H4" s="4" t="s">
        <v>26</v>
      </c>
      <c r="I4" s="5">
        <v>8.3000000000000001E-3</v>
      </c>
      <c r="J4" s="6">
        <v>1.67</v>
      </c>
      <c r="L4" s="34" t="s">
        <v>38</v>
      </c>
      <c r="M4" s="35" t="s">
        <v>39</v>
      </c>
      <c r="N4" s="36">
        <v>3</v>
      </c>
      <c r="O4" s="36">
        <v>6</v>
      </c>
      <c r="P4" s="36">
        <v>9</v>
      </c>
      <c r="Q4" s="37">
        <v>12</v>
      </c>
      <c r="R4" s="36">
        <v>3</v>
      </c>
      <c r="S4" s="36">
        <v>6</v>
      </c>
      <c r="T4" s="36">
        <v>9</v>
      </c>
      <c r="U4" s="37">
        <v>12</v>
      </c>
    </row>
    <row r="5" spans="1:21">
      <c r="A5" s="4">
        <v>3</v>
      </c>
      <c r="B5" s="4">
        <v>3</v>
      </c>
      <c r="C5" s="4" t="s">
        <v>27</v>
      </c>
      <c r="D5" s="5">
        <v>1.4E-2</v>
      </c>
      <c r="E5" s="5">
        <v>3.57</v>
      </c>
      <c r="F5" s="22">
        <v>3</v>
      </c>
      <c r="G5" s="4">
        <v>3</v>
      </c>
      <c r="H5" s="4" t="s">
        <v>27</v>
      </c>
      <c r="I5" s="5">
        <v>1.5599999999999999E-2</v>
      </c>
      <c r="J5" s="6">
        <v>3.95</v>
      </c>
      <c r="L5" s="38" t="s">
        <v>32</v>
      </c>
      <c r="M5" s="39" t="s">
        <v>26</v>
      </c>
      <c r="N5" s="40">
        <f>D4</f>
        <v>1.0800000000000001E-2</v>
      </c>
      <c r="O5" s="40">
        <f>D7</f>
        <v>9.1000000000000004E-3</v>
      </c>
      <c r="P5" s="40">
        <f>D10</f>
        <v>9.1999999999999998E-3</v>
      </c>
      <c r="Q5" s="41">
        <f>D13</f>
        <v>8.6999999999999994E-3</v>
      </c>
      <c r="R5" s="40">
        <v>8.3000000000000001E-3</v>
      </c>
      <c r="S5" s="40">
        <v>7.9000000000000008E-3</v>
      </c>
      <c r="T5" s="40">
        <v>8.3999999999999995E-3</v>
      </c>
      <c r="U5" s="41">
        <v>8.3000000000000001E-3</v>
      </c>
    </row>
    <row r="6" spans="1:21">
      <c r="A6" s="7">
        <v>3</v>
      </c>
      <c r="B6" s="7">
        <v>3</v>
      </c>
      <c r="C6" s="7" t="s">
        <v>28</v>
      </c>
      <c r="D6" s="5">
        <v>3.2000000000000002E-3</v>
      </c>
      <c r="E6" s="5">
        <v>1.1000000000000001</v>
      </c>
      <c r="F6" s="23">
        <v>3</v>
      </c>
      <c r="G6" s="7">
        <v>3</v>
      </c>
      <c r="H6" s="7" t="s">
        <v>28</v>
      </c>
      <c r="I6" s="5">
        <v>7.4000000000000003E-3</v>
      </c>
      <c r="J6" s="6">
        <v>2.61</v>
      </c>
      <c r="L6" s="42"/>
      <c r="M6" s="43"/>
      <c r="N6" s="44">
        <f>E4</f>
        <v>2.16</v>
      </c>
      <c r="O6" s="44">
        <f>E7</f>
        <v>1.87</v>
      </c>
      <c r="P6" s="44">
        <f>E10</f>
        <v>1.91</v>
      </c>
      <c r="Q6" s="45">
        <f>E13</f>
        <v>1.87</v>
      </c>
      <c r="R6" s="44">
        <v>1.67</v>
      </c>
      <c r="S6" s="44">
        <v>1.64</v>
      </c>
      <c r="T6" s="44">
        <v>1.77</v>
      </c>
      <c r="U6" s="45">
        <v>1.67</v>
      </c>
    </row>
    <row r="7" spans="1:21">
      <c r="A7" s="4">
        <v>3</v>
      </c>
      <c r="B7" s="4">
        <v>6</v>
      </c>
      <c r="C7" s="4" t="s">
        <v>26</v>
      </c>
      <c r="D7" s="5">
        <v>9.1000000000000004E-3</v>
      </c>
      <c r="E7" s="5">
        <v>1.87</v>
      </c>
      <c r="F7" s="22">
        <v>3</v>
      </c>
      <c r="G7" s="4">
        <v>6</v>
      </c>
      <c r="H7" s="4" t="s">
        <v>26</v>
      </c>
      <c r="I7" s="5">
        <v>7.9000000000000008E-3</v>
      </c>
      <c r="J7" s="6">
        <v>1.64</v>
      </c>
      <c r="L7" s="46" t="s">
        <v>32</v>
      </c>
      <c r="M7" s="47" t="s">
        <v>27</v>
      </c>
      <c r="N7" s="40">
        <f>D5</f>
        <v>1.4E-2</v>
      </c>
      <c r="O7" s="40">
        <f>D8</f>
        <v>1.49E-2</v>
      </c>
      <c r="P7" s="40">
        <f>D11</f>
        <v>1.52E-2</v>
      </c>
      <c r="Q7" s="41">
        <f>D14</f>
        <v>1.5599999999999999E-2</v>
      </c>
      <c r="R7" s="40">
        <v>1.5599999999999999E-2</v>
      </c>
      <c r="S7" s="40">
        <v>1.5800000000000002E-2</v>
      </c>
      <c r="T7" s="40">
        <v>1.5800000000000002E-2</v>
      </c>
      <c r="U7" s="41">
        <v>1.6E-2</v>
      </c>
    </row>
    <row r="8" spans="1:21">
      <c r="A8" s="4">
        <v>3</v>
      </c>
      <c r="B8" s="4">
        <v>6</v>
      </c>
      <c r="C8" s="4" t="s">
        <v>27</v>
      </c>
      <c r="D8" s="5">
        <v>1.49E-2</v>
      </c>
      <c r="E8" s="5">
        <v>3.78</v>
      </c>
      <c r="F8" s="22">
        <v>3</v>
      </c>
      <c r="G8" s="4">
        <v>6</v>
      </c>
      <c r="H8" s="4" t="s">
        <v>27</v>
      </c>
      <c r="I8" s="5">
        <v>1.5800000000000002E-2</v>
      </c>
      <c r="J8" s="6">
        <v>3.98</v>
      </c>
      <c r="L8" s="42"/>
      <c r="M8" s="43"/>
      <c r="N8" s="44">
        <f>E5</f>
        <v>3.57</v>
      </c>
      <c r="O8" s="44">
        <f>E8</f>
        <v>3.78</v>
      </c>
      <c r="P8" s="44">
        <f>E11</f>
        <v>3.83</v>
      </c>
      <c r="Q8" s="45">
        <f>E14</f>
        <v>3.89</v>
      </c>
      <c r="R8" s="44">
        <v>3.95</v>
      </c>
      <c r="S8" s="44">
        <v>3.98</v>
      </c>
      <c r="T8" s="44">
        <v>3.96</v>
      </c>
      <c r="U8" s="45">
        <v>3.87</v>
      </c>
    </row>
    <row r="9" spans="1:21">
      <c r="A9" s="7">
        <v>3</v>
      </c>
      <c r="B9" s="7">
        <v>6</v>
      </c>
      <c r="C9" s="7" t="s">
        <v>28</v>
      </c>
      <c r="D9" s="5">
        <v>5.7999999999999996E-3</v>
      </c>
      <c r="E9" s="5">
        <v>2.29</v>
      </c>
      <c r="F9" s="23">
        <v>3</v>
      </c>
      <c r="G9" s="7">
        <v>6</v>
      </c>
      <c r="H9" s="7" t="s">
        <v>28</v>
      </c>
      <c r="I9" s="5">
        <v>8.0000000000000002E-3</v>
      </c>
      <c r="J9" s="6">
        <v>3.06</v>
      </c>
      <c r="L9" s="46" t="s">
        <v>32</v>
      </c>
      <c r="M9" s="48" t="s">
        <v>28</v>
      </c>
      <c r="N9" s="40">
        <f>D6</f>
        <v>3.2000000000000002E-3</v>
      </c>
      <c r="O9" s="40">
        <f>D9</f>
        <v>5.7999999999999996E-3</v>
      </c>
      <c r="P9" s="40">
        <f>D12</f>
        <v>6.1000000000000004E-3</v>
      </c>
      <c r="Q9" s="41">
        <f>D15</f>
        <v>6.8999999999999999E-3</v>
      </c>
      <c r="R9" s="40">
        <v>7.4000000000000003E-3</v>
      </c>
      <c r="S9" s="40">
        <v>8.0000000000000002E-3</v>
      </c>
      <c r="T9" s="40">
        <v>7.4000000000000003E-3</v>
      </c>
      <c r="U9" s="41">
        <v>7.7000000000000002E-3</v>
      </c>
    </row>
    <row r="10" spans="1:21">
      <c r="A10" s="4">
        <v>3</v>
      </c>
      <c r="B10" s="4">
        <v>9</v>
      </c>
      <c r="C10" s="4" t="s">
        <v>26</v>
      </c>
      <c r="D10" s="5">
        <v>9.1999999999999998E-3</v>
      </c>
      <c r="E10" s="5">
        <v>1.91</v>
      </c>
      <c r="F10" s="22">
        <v>3</v>
      </c>
      <c r="G10" s="4">
        <v>9</v>
      </c>
      <c r="H10" s="4" t="s">
        <v>26</v>
      </c>
      <c r="I10" s="5">
        <v>8.3999999999999995E-3</v>
      </c>
      <c r="J10" s="6">
        <v>1.77</v>
      </c>
      <c r="L10" s="49"/>
      <c r="M10" s="50"/>
      <c r="N10" s="51">
        <f>E6</f>
        <v>1.1000000000000001</v>
      </c>
      <c r="O10" s="51">
        <f>E8</f>
        <v>3.78</v>
      </c>
      <c r="P10" s="51">
        <f>E12</f>
        <v>2.69</v>
      </c>
      <c r="Q10" s="52">
        <f>E15</f>
        <v>3.53</v>
      </c>
      <c r="R10" s="51">
        <v>2.61</v>
      </c>
      <c r="S10" s="51">
        <v>3.06</v>
      </c>
      <c r="T10" s="51">
        <v>3.07</v>
      </c>
      <c r="U10" s="52">
        <v>4</v>
      </c>
    </row>
    <row r="11" spans="1:21">
      <c r="A11" s="4">
        <v>3</v>
      </c>
      <c r="B11" s="4">
        <v>9</v>
      </c>
      <c r="C11" s="4" t="s">
        <v>27</v>
      </c>
      <c r="D11" s="5">
        <v>1.52E-2</v>
      </c>
      <c r="E11" s="5">
        <v>3.83</v>
      </c>
      <c r="F11" s="22">
        <v>3</v>
      </c>
      <c r="G11" s="4">
        <v>9</v>
      </c>
      <c r="H11" s="4" t="s">
        <v>27</v>
      </c>
      <c r="I11" s="5">
        <v>1.5800000000000002E-2</v>
      </c>
      <c r="J11" s="6">
        <v>3.96</v>
      </c>
      <c r="L11" s="53" t="s">
        <v>33</v>
      </c>
      <c r="M11" s="54" t="s">
        <v>26</v>
      </c>
      <c r="N11" s="40">
        <f>D16</f>
        <v>8.6999999999999994E-3</v>
      </c>
      <c r="O11" s="40">
        <f>D19</f>
        <v>7.9000000000000008E-3</v>
      </c>
      <c r="P11" s="40">
        <f>D22</f>
        <v>7.1999999999999998E-3</v>
      </c>
      <c r="Q11" s="41">
        <f>D25</f>
        <v>6.6E-3</v>
      </c>
      <c r="R11" s="40">
        <v>6.6E-3</v>
      </c>
      <c r="S11" s="40">
        <v>6.4999999999999997E-3</v>
      </c>
      <c r="T11" s="40">
        <v>7.1000000000000004E-3</v>
      </c>
      <c r="U11" s="41">
        <v>6.7999999999999996E-3</v>
      </c>
    </row>
    <row r="12" spans="1:21">
      <c r="A12" s="7">
        <v>3</v>
      </c>
      <c r="B12" s="7">
        <v>9</v>
      </c>
      <c r="C12" s="7" t="s">
        <v>28</v>
      </c>
      <c r="D12" s="5">
        <v>6.1000000000000004E-3</v>
      </c>
      <c r="E12" s="5">
        <v>2.69</v>
      </c>
      <c r="F12" s="23">
        <v>3</v>
      </c>
      <c r="G12" s="7">
        <v>9</v>
      </c>
      <c r="H12" s="7" t="s">
        <v>28</v>
      </c>
      <c r="I12" s="5">
        <v>7.4000000000000003E-3</v>
      </c>
      <c r="J12" s="6">
        <v>3.07</v>
      </c>
      <c r="L12" s="42"/>
      <c r="M12" s="43"/>
      <c r="N12" s="44">
        <f>E16</f>
        <v>1.67</v>
      </c>
      <c r="O12" s="44">
        <f>E19</f>
        <v>1.56</v>
      </c>
      <c r="P12" s="44">
        <f>E22</f>
        <v>1.48</v>
      </c>
      <c r="Q12" s="45">
        <f>E25</f>
        <v>1.66</v>
      </c>
      <c r="R12" s="44">
        <v>1.28</v>
      </c>
      <c r="S12" s="44">
        <v>1.35</v>
      </c>
      <c r="T12" s="44">
        <v>1.37</v>
      </c>
      <c r="U12" s="45">
        <v>1.58</v>
      </c>
    </row>
    <row r="13" spans="1:21">
      <c r="A13" s="4">
        <v>3</v>
      </c>
      <c r="B13" s="4">
        <v>12</v>
      </c>
      <c r="C13" s="4" t="s">
        <v>26</v>
      </c>
      <c r="D13" s="5">
        <v>8.6999999999999994E-3</v>
      </c>
      <c r="E13" s="5">
        <v>1.87</v>
      </c>
      <c r="F13" s="22">
        <v>3</v>
      </c>
      <c r="G13" s="4">
        <v>12</v>
      </c>
      <c r="H13" s="4" t="s">
        <v>26</v>
      </c>
      <c r="I13" s="5">
        <v>8.3000000000000001E-3</v>
      </c>
      <c r="J13" s="6">
        <v>1.67</v>
      </c>
      <c r="L13" s="46" t="s">
        <v>33</v>
      </c>
      <c r="M13" s="47" t="s">
        <v>27</v>
      </c>
      <c r="N13" s="40">
        <f>D17</f>
        <v>1.7100000000000001E-2</v>
      </c>
      <c r="O13" s="40">
        <f>D20</f>
        <v>1.7399999999999999E-2</v>
      </c>
      <c r="P13" s="40">
        <f>D23</f>
        <v>1.7399999999999999E-2</v>
      </c>
      <c r="Q13" s="41">
        <f>D26</f>
        <v>1.66E-2</v>
      </c>
      <c r="R13" s="40">
        <v>1.77E-2</v>
      </c>
      <c r="S13" s="40">
        <v>1.7600000000000001E-2</v>
      </c>
      <c r="T13" s="40">
        <v>1.7100000000000001E-2</v>
      </c>
      <c r="U13" s="41">
        <v>1.6299999999999999E-2</v>
      </c>
    </row>
    <row r="14" spans="1:21">
      <c r="A14" s="4">
        <v>3</v>
      </c>
      <c r="B14" s="4">
        <v>12</v>
      </c>
      <c r="C14" s="4" t="s">
        <v>27</v>
      </c>
      <c r="D14" s="5">
        <v>1.5599999999999999E-2</v>
      </c>
      <c r="E14" s="5">
        <v>3.89</v>
      </c>
      <c r="F14" s="22">
        <v>3</v>
      </c>
      <c r="G14" s="4">
        <v>12</v>
      </c>
      <c r="H14" s="4" t="s">
        <v>27</v>
      </c>
      <c r="I14" s="5">
        <v>1.6E-2</v>
      </c>
      <c r="J14" s="6">
        <v>3.87</v>
      </c>
      <c r="L14" s="42"/>
      <c r="M14" s="43"/>
      <c r="N14" s="44">
        <f>E17</f>
        <v>4.28</v>
      </c>
      <c r="O14" s="44">
        <f>E20</f>
        <v>4.33</v>
      </c>
      <c r="P14" s="44">
        <f>E23</f>
        <v>4.3099999999999996</v>
      </c>
      <c r="Q14" s="45">
        <f>E26</f>
        <v>4.13</v>
      </c>
      <c r="R14" s="44">
        <v>4.47</v>
      </c>
      <c r="S14" s="44">
        <v>4.41</v>
      </c>
      <c r="T14" s="44">
        <v>4.32</v>
      </c>
      <c r="U14" s="45">
        <v>4.13</v>
      </c>
    </row>
    <row r="15" spans="1:21">
      <c r="A15" s="7">
        <v>3</v>
      </c>
      <c r="B15" s="7">
        <v>12</v>
      </c>
      <c r="C15" s="7" t="s">
        <v>28</v>
      </c>
      <c r="D15" s="5">
        <v>6.8999999999999999E-3</v>
      </c>
      <c r="E15" s="5">
        <v>3.53</v>
      </c>
      <c r="F15" s="23">
        <v>3</v>
      </c>
      <c r="G15" s="7">
        <v>12</v>
      </c>
      <c r="H15" s="7" t="s">
        <v>28</v>
      </c>
      <c r="I15" s="5">
        <v>7.7000000000000002E-3</v>
      </c>
      <c r="J15" s="6">
        <v>4</v>
      </c>
      <c r="L15" s="46" t="s">
        <v>33</v>
      </c>
      <c r="M15" s="48" t="s">
        <v>28</v>
      </c>
      <c r="N15" s="40">
        <f>D18</f>
        <v>8.3999999999999995E-3</v>
      </c>
      <c r="O15" s="40">
        <f>D21</f>
        <v>9.4999999999999998E-3</v>
      </c>
      <c r="P15" s="40">
        <f>D24</f>
        <v>1.0200000000000001E-2</v>
      </c>
      <c r="Q15" s="41">
        <f>D27</f>
        <v>8.6E-3</v>
      </c>
      <c r="R15" s="40">
        <v>1.11E-2</v>
      </c>
      <c r="S15" s="40">
        <v>1.11E-2</v>
      </c>
      <c r="T15" s="40">
        <v>0.01</v>
      </c>
      <c r="U15" s="41">
        <v>8.9999999999999993E-3</v>
      </c>
    </row>
    <row r="16" spans="1:21">
      <c r="A16" s="4">
        <v>6</v>
      </c>
      <c r="B16" s="4">
        <v>3</v>
      </c>
      <c r="C16" s="4" t="s">
        <v>26</v>
      </c>
      <c r="D16" s="5">
        <v>8.6999999999999994E-3</v>
      </c>
      <c r="E16" s="5">
        <v>1.67</v>
      </c>
      <c r="F16" s="22">
        <v>6</v>
      </c>
      <c r="G16" s="4">
        <v>3</v>
      </c>
      <c r="H16" s="4" t="s">
        <v>26</v>
      </c>
      <c r="I16" s="5">
        <v>6.6E-3</v>
      </c>
      <c r="J16" s="6">
        <v>1.28</v>
      </c>
      <c r="L16" s="49"/>
      <c r="M16" s="50"/>
      <c r="N16" s="51">
        <f>E18</f>
        <v>2.44</v>
      </c>
      <c r="O16" s="51">
        <f>E21</f>
        <v>3.07</v>
      </c>
      <c r="P16" s="51">
        <f>E24</f>
        <v>3.76</v>
      </c>
      <c r="Q16" s="52">
        <f>E27</f>
        <v>3.36</v>
      </c>
      <c r="R16" s="51">
        <v>3.37</v>
      </c>
      <c r="S16" s="51">
        <v>3.61</v>
      </c>
      <c r="T16" s="51">
        <v>3.41</v>
      </c>
      <c r="U16" s="52">
        <v>3.54</v>
      </c>
    </row>
    <row r="17" spans="1:21">
      <c r="A17" s="4">
        <v>6</v>
      </c>
      <c r="B17" s="4">
        <v>3</v>
      </c>
      <c r="C17" s="4" t="s">
        <v>27</v>
      </c>
      <c r="D17" s="5">
        <v>1.7100000000000001E-2</v>
      </c>
      <c r="E17" s="5">
        <v>4.28</v>
      </c>
      <c r="F17" s="22">
        <v>6</v>
      </c>
      <c r="G17" s="4">
        <v>3</v>
      </c>
      <c r="H17" s="4" t="s">
        <v>27</v>
      </c>
      <c r="I17" s="5">
        <v>1.77E-2</v>
      </c>
      <c r="J17" s="6">
        <v>4.47</v>
      </c>
      <c r="L17" s="53" t="s">
        <v>34</v>
      </c>
      <c r="M17" s="54" t="s">
        <v>26</v>
      </c>
      <c r="N17" s="40">
        <f>D28</f>
        <v>7.7000000000000002E-3</v>
      </c>
      <c r="O17" s="40">
        <f>D31</f>
        <v>6.4999999999999997E-3</v>
      </c>
      <c r="P17" s="40">
        <v>7.1000000000000004E-3</v>
      </c>
      <c r="Q17" s="41">
        <v>6.1000000000000004E-3</v>
      </c>
      <c r="R17" s="40">
        <v>5.7999999999999996E-3</v>
      </c>
      <c r="S17" s="40">
        <v>5.7999999999999996E-3</v>
      </c>
      <c r="T17" s="40">
        <v>5.4000000000000003E-3</v>
      </c>
      <c r="U17" s="41">
        <v>5.3E-3</v>
      </c>
    </row>
    <row r="18" spans="1:21">
      <c r="A18" s="7">
        <v>6</v>
      </c>
      <c r="B18" s="7">
        <v>3</v>
      </c>
      <c r="C18" s="7" t="s">
        <v>28</v>
      </c>
      <c r="D18" s="5">
        <v>8.3999999999999995E-3</v>
      </c>
      <c r="E18" s="5">
        <v>2.44</v>
      </c>
      <c r="F18" s="23">
        <v>6</v>
      </c>
      <c r="G18" s="7">
        <v>3</v>
      </c>
      <c r="H18" s="7" t="s">
        <v>28</v>
      </c>
      <c r="I18" s="5">
        <v>1.11E-2</v>
      </c>
      <c r="J18" s="6">
        <v>3.37</v>
      </c>
      <c r="L18" s="42"/>
      <c r="M18" s="43"/>
      <c r="N18" s="44">
        <f>E28</f>
        <v>1.47</v>
      </c>
      <c r="O18" s="44">
        <f>E31</f>
        <v>1.29</v>
      </c>
      <c r="P18" s="44">
        <v>1.43</v>
      </c>
      <c r="Q18" s="45">
        <v>1.66</v>
      </c>
      <c r="R18" s="44">
        <v>1.1299999999999999</v>
      </c>
      <c r="S18" s="44">
        <v>1.1499999999999999</v>
      </c>
      <c r="T18" s="44">
        <v>1.1399999999999999</v>
      </c>
      <c r="U18" s="45">
        <v>1.26</v>
      </c>
    </row>
    <row r="19" spans="1:21">
      <c r="A19" s="4">
        <v>6</v>
      </c>
      <c r="B19" s="4">
        <v>6</v>
      </c>
      <c r="C19" s="4" t="s">
        <v>26</v>
      </c>
      <c r="D19" s="5">
        <v>7.9000000000000008E-3</v>
      </c>
      <c r="E19" s="5">
        <v>1.56</v>
      </c>
      <c r="F19" s="22">
        <v>6</v>
      </c>
      <c r="G19" s="4">
        <v>6</v>
      </c>
      <c r="H19" s="4" t="s">
        <v>26</v>
      </c>
      <c r="I19" s="5">
        <v>6.4999999999999997E-3</v>
      </c>
      <c r="J19" s="6">
        <v>1.35</v>
      </c>
      <c r="L19" s="46" t="s">
        <v>34</v>
      </c>
      <c r="M19" s="47" t="s">
        <v>27</v>
      </c>
      <c r="N19" s="40">
        <f>D29</f>
        <v>1.8599999999999998E-2</v>
      </c>
      <c r="O19" s="40">
        <f>D32</f>
        <v>1.8599999999999998E-2</v>
      </c>
      <c r="P19" s="40">
        <v>1.7600000000000001E-2</v>
      </c>
      <c r="Q19" s="41">
        <v>1.6400000000000001E-2</v>
      </c>
      <c r="R19" s="40">
        <v>1.72E-2</v>
      </c>
      <c r="S19" s="40">
        <v>1.7100000000000001E-2</v>
      </c>
      <c r="T19" s="40">
        <v>1.61E-2</v>
      </c>
      <c r="U19" s="41">
        <v>1.4999999999999999E-2</v>
      </c>
    </row>
    <row r="20" spans="1:21">
      <c r="A20" s="4">
        <v>6</v>
      </c>
      <c r="B20" s="4">
        <v>6</v>
      </c>
      <c r="C20" s="4" t="s">
        <v>27</v>
      </c>
      <c r="D20" s="5">
        <v>1.7399999999999999E-2</v>
      </c>
      <c r="E20" s="5">
        <v>4.33</v>
      </c>
      <c r="F20" s="22">
        <v>6</v>
      </c>
      <c r="G20" s="4">
        <v>6</v>
      </c>
      <c r="H20" s="4" t="s">
        <v>27</v>
      </c>
      <c r="I20" s="5">
        <v>1.7600000000000001E-2</v>
      </c>
      <c r="J20" s="6">
        <v>4.41</v>
      </c>
      <c r="L20" s="42"/>
      <c r="M20" s="43"/>
      <c r="N20" s="44">
        <f>E29</f>
        <v>4.5599999999999996</v>
      </c>
      <c r="O20" s="44">
        <f>E32</f>
        <v>4.53</v>
      </c>
      <c r="P20" s="44">
        <v>4.3</v>
      </c>
      <c r="Q20" s="45">
        <v>3.97</v>
      </c>
      <c r="R20" s="44">
        <v>4.72</v>
      </c>
      <c r="S20" s="44">
        <v>4.6399999999999997</v>
      </c>
      <c r="T20" s="44">
        <v>4.49</v>
      </c>
      <c r="U20" s="45">
        <v>4.2</v>
      </c>
    </row>
    <row r="21" spans="1:21">
      <c r="A21" s="7">
        <v>6</v>
      </c>
      <c r="B21" s="7">
        <v>6</v>
      </c>
      <c r="C21" s="7" t="s">
        <v>28</v>
      </c>
      <c r="D21" s="5">
        <v>9.4999999999999998E-3</v>
      </c>
      <c r="E21" s="5">
        <v>3.07</v>
      </c>
      <c r="F21" s="23">
        <v>6</v>
      </c>
      <c r="G21" s="7">
        <v>6</v>
      </c>
      <c r="H21" s="7" t="s">
        <v>28</v>
      </c>
      <c r="I21" s="5">
        <v>1.11E-2</v>
      </c>
      <c r="J21" s="6">
        <v>3.61</v>
      </c>
      <c r="L21" s="46" t="s">
        <v>34</v>
      </c>
      <c r="M21" s="48" t="s">
        <v>28</v>
      </c>
      <c r="N21" s="40">
        <f>D30</f>
        <v>1.09E-2</v>
      </c>
      <c r="O21" s="40">
        <f>D33</f>
        <v>1.21E-2</v>
      </c>
      <c r="P21" s="40">
        <v>1.0500000000000001E-2</v>
      </c>
      <c r="Q21" s="41">
        <v>9.1999999999999998E-3</v>
      </c>
      <c r="R21" s="40">
        <v>1.14E-2</v>
      </c>
      <c r="S21" s="40">
        <v>1.1299999999999999E-2</v>
      </c>
      <c r="T21" s="40">
        <v>1.06E-2</v>
      </c>
      <c r="U21" s="41">
        <v>9.7000000000000003E-3</v>
      </c>
    </row>
    <row r="22" spans="1:21">
      <c r="A22" s="4">
        <v>6</v>
      </c>
      <c r="B22" s="4">
        <v>9</v>
      </c>
      <c r="C22" s="4" t="s">
        <v>26</v>
      </c>
      <c r="D22" s="5">
        <v>7.1999999999999998E-3</v>
      </c>
      <c r="E22" s="5">
        <v>1.48</v>
      </c>
      <c r="F22" s="22">
        <v>6</v>
      </c>
      <c r="G22" s="4">
        <v>9</v>
      </c>
      <c r="H22" s="4" t="s">
        <v>26</v>
      </c>
      <c r="I22" s="5">
        <v>7.1000000000000004E-3</v>
      </c>
      <c r="J22" s="6">
        <v>1.37</v>
      </c>
      <c r="L22" s="49"/>
      <c r="M22" s="50"/>
      <c r="N22" s="51">
        <f>E30</f>
        <v>3.03</v>
      </c>
      <c r="O22" s="51">
        <f>E33</f>
        <v>3.78</v>
      </c>
      <c r="P22" s="51">
        <v>3.47</v>
      </c>
      <c r="Q22" s="52">
        <v>2.89</v>
      </c>
      <c r="R22" s="51">
        <v>3.4</v>
      </c>
      <c r="S22" s="51">
        <v>3.79</v>
      </c>
      <c r="T22" s="51">
        <v>3.6</v>
      </c>
      <c r="U22" s="52">
        <v>3.39</v>
      </c>
    </row>
    <row r="23" spans="1:21">
      <c r="A23" s="4">
        <v>6</v>
      </c>
      <c r="B23" s="4">
        <v>9</v>
      </c>
      <c r="C23" s="4" t="s">
        <v>27</v>
      </c>
      <c r="D23" s="5">
        <v>1.7399999999999999E-2</v>
      </c>
      <c r="E23" s="5">
        <v>4.3099999999999996</v>
      </c>
      <c r="F23" s="22">
        <v>6</v>
      </c>
      <c r="G23" s="4">
        <v>9</v>
      </c>
      <c r="H23" s="4" t="s">
        <v>27</v>
      </c>
      <c r="I23" s="5">
        <v>1.7100000000000001E-2</v>
      </c>
      <c r="J23" s="6">
        <v>4.32</v>
      </c>
      <c r="L23" s="53" t="s">
        <v>35</v>
      </c>
      <c r="M23" s="54" t="s">
        <v>26</v>
      </c>
      <c r="N23" s="40">
        <v>6.0000000000000001E-3</v>
      </c>
      <c r="O23" s="40">
        <v>6.4999999999999997E-3</v>
      </c>
      <c r="P23" s="40">
        <v>7.4999999999999997E-3</v>
      </c>
      <c r="Q23" s="41">
        <v>8.6999999999999994E-3</v>
      </c>
      <c r="R23" s="40">
        <v>4.7999999999999996E-3</v>
      </c>
      <c r="S23" s="40">
        <v>5.1999999999999998E-3</v>
      </c>
      <c r="T23" s="40">
        <v>5.4000000000000003E-3</v>
      </c>
      <c r="U23" s="41">
        <v>6.0000000000000001E-3</v>
      </c>
    </row>
    <row r="24" spans="1:21">
      <c r="A24" s="7">
        <v>6</v>
      </c>
      <c r="B24" s="7">
        <v>9</v>
      </c>
      <c r="C24" s="7" t="s">
        <v>28</v>
      </c>
      <c r="D24" s="5">
        <v>1.0200000000000001E-2</v>
      </c>
      <c r="E24" s="5">
        <v>3.76</v>
      </c>
      <c r="F24" s="23">
        <v>6</v>
      </c>
      <c r="G24" s="7">
        <v>9</v>
      </c>
      <c r="H24" s="7" t="s">
        <v>28</v>
      </c>
      <c r="I24" s="5">
        <v>0.01</v>
      </c>
      <c r="J24" s="6">
        <v>3.41</v>
      </c>
      <c r="L24" s="42"/>
      <c r="M24" s="43"/>
      <c r="N24" s="44">
        <v>1.17</v>
      </c>
      <c r="O24" s="44">
        <v>1.29</v>
      </c>
      <c r="P24" s="44">
        <v>1.48</v>
      </c>
      <c r="Q24" s="45">
        <v>1.74</v>
      </c>
      <c r="R24" s="44">
        <v>0.96</v>
      </c>
      <c r="S24" s="44">
        <v>1.07</v>
      </c>
      <c r="T24" s="44">
        <v>1.1299999999999999</v>
      </c>
      <c r="U24" s="45">
        <v>1.36</v>
      </c>
    </row>
    <row r="25" spans="1:21">
      <c r="A25" s="4">
        <v>6</v>
      </c>
      <c r="B25" s="4">
        <v>12</v>
      </c>
      <c r="C25" s="4" t="s">
        <v>26</v>
      </c>
      <c r="D25" s="5">
        <v>6.6E-3</v>
      </c>
      <c r="E25" s="5">
        <v>1.66</v>
      </c>
      <c r="F25" s="22">
        <v>6</v>
      </c>
      <c r="G25" s="4">
        <v>12</v>
      </c>
      <c r="H25" s="4" t="s">
        <v>26</v>
      </c>
      <c r="I25" s="5">
        <v>6.7999999999999996E-3</v>
      </c>
      <c r="J25" s="6">
        <v>1.58</v>
      </c>
      <c r="L25" s="46" t="s">
        <v>35</v>
      </c>
      <c r="M25" s="47" t="s">
        <v>27</v>
      </c>
      <c r="N25" s="40">
        <v>1.9199999999999998E-2</v>
      </c>
      <c r="O25" s="40">
        <v>1.7899999999999999E-2</v>
      </c>
      <c r="P25" s="40">
        <v>1.6799999999999999E-2</v>
      </c>
      <c r="Q25" s="41">
        <v>1.55E-2</v>
      </c>
      <c r="R25" s="40">
        <v>1.9599999999999999E-2</v>
      </c>
      <c r="S25" s="40">
        <v>1.7899999999999999E-2</v>
      </c>
      <c r="T25" s="40">
        <v>1.77E-2</v>
      </c>
      <c r="U25" s="41">
        <v>1.54E-2</v>
      </c>
    </row>
    <row r="26" spans="1:21">
      <c r="A26" s="4">
        <v>6</v>
      </c>
      <c r="B26" s="4">
        <v>12</v>
      </c>
      <c r="C26" s="4" t="s">
        <v>27</v>
      </c>
      <c r="D26" s="5">
        <v>1.66E-2</v>
      </c>
      <c r="E26" s="5">
        <v>4.13</v>
      </c>
      <c r="F26" s="22">
        <v>6</v>
      </c>
      <c r="G26" s="4">
        <v>12</v>
      </c>
      <c r="H26" s="4" t="s">
        <v>27</v>
      </c>
      <c r="I26" s="5">
        <v>1.6299999999999999E-2</v>
      </c>
      <c r="J26" s="6">
        <v>4.13</v>
      </c>
      <c r="L26" s="42"/>
      <c r="M26" s="43"/>
      <c r="N26" s="44">
        <v>4.63</v>
      </c>
      <c r="O26" s="44">
        <v>4.3600000000000003</v>
      </c>
      <c r="P26" s="44">
        <v>4.0999999999999996</v>
      </c>
      <c r="Q26" s="45">
        <v>3.81</v>
      </c>
      <c r="R26" s="44">
        <v>4.7300000000000004</v>
      </c>
      <c r="S26" s="44">
        <v>4.3600000000000003</v>
      </c>
      <c r="T26" s="44">
        <v>4.28</v>
      </c>
      <c r="U26" s="45">
        <v>3.79</v>
      </c>
    </row>
    <row r="27" spans="1:21">
      <c r="A27" s="7">
        <v>6</v>
      </c>
      <c r="B27" s="7">
        <v>12</v>
      </c>
      <c r="C27" s="7" t="s">
        <v>28</v>
      </c>
      <c r="D27" s="5">
        <v>8.6E-3</v>
      </c>
      <c r="E27" s="5">
        <v>3.36</v>
      </c>
      <c r="F27" s="23">
        <v>6</v>
      </c>
      <c r="G27" s="7">
        <v>12</v>
      </c>
      <c r="H27" s="7" t="s">
        <v>28</v>
      </c>
      <c r="I27" s="5">
        <v>8.9999999999999993E-3</v>
      </c>
      <c r="J27" s="6">
        <v>3.54</v>
      </c>
      <c r="L27" s="46" t="s">
        <v>35</v>
      </c>
      <c r="M27" s="48" t="s">
        <v>28</v>
      </c>
      <c r="N27" s="40">
        <v>1.3100000000000001E-2</v>
      </c>
      <c r="O27" s="40">
        <v>1.14E-2</v>
      </c>
      <c r="P27" s="40">
        <v>9.2999999999999992E-3</v>
      </c>
      <c r="Q27" s="41">
        <v>6.7999999999999996E-3</v>
      </c>
      <c r="R27" s="40">
        <v>1.49E-2</v>
      </c>
      <c r="S27" s="40">
        <v>1.21E-2</v>
      </c>
      <c r="T27" s="40">
        <v>9.5999999999999992E-3</v>
      </c>
      <c r="U27" s="41">
        <v>9.4000000000000004E-3</v>
      </c>
    </row>
    <row r="28" spans="1:21">
      <c r="A28" s="4">
        <v>9</v>
      </c>
      <c r="B28" s="4">
        <v>3</v>
      </c>
      <c r="C28" s="4" t="s">
        <v>26</v>
      </c>
      <c r="D28" s="5">
        <v>7.7000000000000002E-3</v>
      </c>
      <c r="E28" s="5">
        <v>1.47</v>
      </c>
      <c r="F28" s="22">
        <v>9</v>
      </c>
      <c r="G28" s="4">
        <v>3</v>
      </c>
      <c r="H28" s="4" t="s">
        <v>26</v>
      </c>
      <c r="I28" s="5">
        <v>5.7999999999999996E-3</v>
      </c>
      <c r="J28" s="6">
        <v>1.1299999999999999</v>
      </c>
      <c r="L28" s="55"/>
      <c r="M28" s="56"/>
      <c r="N28" s="57">
        <v>3.74</v>
      </c>
      <c r="O28" s="57">
        <v>3.4</v>
      </c>
      <c r="P28" s="57">
        <v>2.95</v>
      </c>
      <c r="Q28" s="58">
        <v>2.25</v>
      </c>
      <c r="R28" s="57">
        <v>4.28</v>
      </c>
      <c r="S28" s="57">
        <v>3.65</v>
      </c>
      <c r="T28" s="57">
        <v>3.09</v>
      </c>
      <c r="U28" s="58">
        <v>2.31</v>
      </c>
    </row>
    <row r="29" spans="1:21">
      <c r="A29" s="4">
        <v>9</v>
      </c>
      <c r="B29" s="4">
        <v>3</v>
      </c>
      <c r="C29" s="4" t="s">
        <v>27</v>
      </c>
      <c r="D29" s="5">
        <v>1.8599999999999998E-2</v>
      </c>
      <c r="E29" s="5">
        <v>4.5599999999999996</v>
      </c>
      <c r="F29" s="22">
        <v>9</v>
      </c>
      <c r="G29" s="4">
        <v>3</v>
      </c>
      <c r="H29" s="4" t="s">
        <v>27</v>
      </c>
      <c r="I29" s="5">
        <v>1.72E-2</v>
      </c>
      <c r="J29" s="6">
        <v>4.72</v>
      </c>
    </row>
    <row r="30" spans="1:21">
      <c r="A30" s="7">
        <v>9</v>
      </c>
      <c r="B30" s="7">
        <v>3</v>
      </c>
      <c r="C30" s="7" t="s">
        <v>28</v>
      </c>
      <c r="D30" s="5">
        <v>1.09E-2</v>
      </c>
      <c r="E30" s="5">
        <v>3.03</v>
      </c>
      <c r="F30" s="23">
        <v>9</v>
      </c>
      <c r="G30" s="7">
        <v>3</v>
      </c>
      <c r="H30" s="7" t="s">
        <v>28</v>
      </c>
      <c r="I30" s="5">
        <v>1.14E-2</v>
      </c>
      <c r="J30" s="6">
        <v>3.4</v>
      </c>
      <c r="L30" s="5">
        <v>4.7999999999999996E-3</v>
      </c>
      <c r="M30" s="6">
        <v>0.96</v>
      </c>
      <c r="O30">
        <f>L30</f>
        <v>4.7999999999999996E-3</v>
      </c>
      <c r="P30">
        <f>L33</f>
        <v>5.1999999999999998E-3</v>
      </c>
      <c r="Q30">
        <f>L36</f>
        <v>5.4000000000000003E-3</v>
      </c>
      <c r="R30">
        <f>L39</f>
        <v>6.0000000000000001E-3</v>
      </c>
    </row>
    <row r="31" spans="1:21">
      <c r="A31" s="4">
        <v>9</v>
      </c>
      <c r="B31" s="4">
        <v>6</v>
      </c>
      <c r="C31" s="4" t="s">
        <v>26</v>
      </c>
      <c r="D31" s="5">
        <v>6.4999999999999997E-3</v>
      </c>
      <c r="E31" s="5">
        <v>1.29</v>
      </c>
      <c r="F31" s="22">
        <v>9</v>
      </c>
      <c r="G31" s="4">
        <v>6</v>
      </c>
      <c r="H31" s="4" t="s">
        <v>26</v>
      </c>
      <c r="I31" s="5">
        <v>5.7999999999999996E-3</v>
      </c>
      <c r="J31" s="6">
        <v>1.1499999999999999</v>
      </c>
      <c r="L31" s="5">
        <v>1.9599999999999999E-2</v>
      </c>
      <c r="M31" s="6">
        <v>4.7300000000000004</v>
      </c>
      <c r="O31">
        <f>M30</f>
        <v>0.96</v>
      </c>
      <c r="P31">
        <f>M33</f>
        <v>1.07</v>
      </c>
      <c r="Q31">
        <f>M36</f>
        <v>1.1299999999999999</v>
      </c>
      <c r="R31">
        <f>M39</f>
        <v>1.36</v>
      </c>
    </row>
    <row r="32" spans="1:21">
      <c r="A32" s="4">
        <v>9</v>
      </c>
      <c r="B32" s="4">
        <v>6</v>
      </c>
      <c r="C32" s="4" t="s">
        <v>27</v>
      </c>
      <c r="D32" s="5">
        <v>1.8599999999999998E-2</v>
      </c>
      <c r="E32" s="5">
        <v>4.53</v>
      </c>
      <c r="F32" s="22">
        <v>9</v>
      </c>
      <c r="G32" s="4">
        <v>6</v>
      </c>
      <c r="H32" s="4" t="s">
        <v>27</v>
      </c>
      <c r="I32" s="5">
        <v>1.7100000000000001E-2</v>
      </c>
      <c r="J32" s="6">
        <v>4.6399999999999997</v>
      </c>
      <c r="L32" s="5">
        <v>1.49E-2</v>
      </c>
      <c r="M32" s="6">
        <v>4.28</v>
      </c>
      <c r="O32">
        <f>L31</f>
        <v>1.9599999999999999E-2</v>
      </c>
      <c r="P32">
        <f>L34</f>
        <v>1.7899999999999999E-2</v>
      </c>
      <c r="Q32">
        <f>L37</f>
        <v>1.77E-2</v>
      </c>
      <c r="R32">
        <f>L40</f>
        <v>1.54E-2</v>
      </c>
    </row>
    <row r="33" spans="1:18">
      <c r="A33" s="7">
        <v>9</v>
      </c>
      <c r="B33" s="7">
        <v>6</v>
      </c>
      <c r="C33" s="7" t="s">
        <v>28</v>
      </c>
      <c r="D33" s="5">
        <v>1.21E-2</v>
      </c>
      <c r="E33" s="5">
        <v>3.78</v>
      </c>
      <c r="F33" s="23">
        <v>9</v>
      </c>
      <c r="G33" s="7">
        <v>6</v>
      </c>
      <c r="H33" s="7" t="s">
        <v>28</v>
      </c>
      <c r="I33" s="5">
        <v>1.1299999999999999E-2</v>
      </c>
      <c r="J33" s="6">
        <v>3.79</v>
      </c>
      <c r="L33" s="5">
        <v>5.1999999999999998E-3</v>
      </c>
      <c r="M33" s="6">
        <v>1.07</v>
      </c>
      <c r="O33">
        <f>M31</f>
        <v>4.7300000000000004</v>
      </c>
      <c r="P33">
        <f>M34</f>
        <v>4.3600000000000003</v>
      </c>
      <c r="Q33">
        <f>M37</f>
        <v>4.28</v>
      </c>
      <c r="R33">
        <f>M40</f>
        <v>3.79</v>
      </c>
    </row>
    <row r="34" spans="1:18">
      <c r="A34" s="4">
        <v>9</v>
      </c>
      <c r="B34" s="4">
        <v>9</v>
      </c>
      <c r="C34" s="4" t="s">
        <v>26</v>
      </c>
      <c r="D34" s="5">
        <v>7.1000000000000004E-3</v>
      </c>
      <c r="E34" s="5">
        <v>1.43</v>
      </c>
      <c r="F34" s="22">
        <v>9</v>
      </c>
      <c r="G34" s="4">
        <v>9</v>
      </c>
      <c r="H34" s="4" t="s">
        <v>26</v>
      </c>
      <c r="I34" s="5">
        <v>5.4000000000000003E-3</v>
      </c>
      <c r="J34" s="6">
        <v>1.1399999999999999</v>
      </c>
      <c r="L34" s="5">
        <v>1.7899999999999999E-2</v>
      </c>
      <c r="M34" s="6">
        <v>4.3600000000000003</v>
      </c>
      <c r="O34">
        <f>L32</f>
        <v>1.49E-2</v>
      </c>
      <c r="P34">
        <f>L35</f>
        <v>1.21E-2</v>
      </c>
      <c r="Q34">
        <f>L38</f>
        <v>9.5999999999999992E-3</v>
      </c>
      <c r="R34">
        <f>L41</f>
        <v>9.4000000000000004E-3</v>
      </c>
    </row>
    <row r="35" spans="1:18">
      <c r="A35" s="4">
        <v>9</v>
      </c>
      <c r="B35" s="4">
        <v>9</v>
      </c>
      <c r="C35" s="4" t="s">
        <v>27</v>
      </c>
      <c r="D35" s="5">
        <v>1.7600000000000001E-2</v>
      </c>
      <c r="E35" s="5">
        <v>4.3</v>
      </c>
      <c r="F35" s="22">
        <v>9</v>
      </c>
      <c r="G35" s="4">
        <v>9</v>
      </c>
      <c r="H35" s="4" t="s">
        <v>27</v>
      </c>
      <c r="I35" s="5">
        <v>1.61E-2</v>
      </c>
      <c r="J35" s="6">
        <v>4.49</v>
      </c>
      <c r="L35" s="5">
        <v>1.21E-2</v>
      </c>
      <c r="M35" s="6">
        <v>3.65</v>
      </c>
      <c r="O35">
        <f>M32</f>
        <v>4.28</v>
      </c>
      <c r="P35">
        <f>M35</f>
        <v>3.65</v>
      </c>
      <c r="Q35">
        <f>M38</f>
        <v>3.09</v>
      </c>
      <c r="R35">
        <f>M41</f>
        <v>2.31</v>
      </c>
    </row>
    <row r="36" spans="1:18">
      <c r="A36" s="7">
        <v>9</v>
      </c>
      <c r="B36" s="7">
        <v>9</v>
      </c>
      <c r="C36" s="7" t="s">
        <v>28</v>
      </c>
      <c r="D36" s="5">
        <v>1.0500000000000001E-2</v>
      </c>
      <c r="E36" s="5">
        <v>3.47</v>
      </c>
      <c r="F36" s="23">
        <v>9</v>
      </c>
      <c r="G36" s="7">
        <v>9</v>
      </c>
      <c r="H36" s="7" t="s">
        <v>28</v>
      </c>
      <c r="I36" s="5">
        <v>1.06E-2</v>
      </c>
      <c r="J36" s="6">
        <v>3.6</v>
      </c>
      <c r="L36" s="5">
        <v>5.4000000000000003E-3</v>
      </c>
      <c r="M36" s="6">
        <v>1.1299999999999999</v>
      </c>
    </row>
    <row r="37" spans="1:18">
      <c r="A37" s="4">
        <v>9</v>
      </c>
      <c r="B37" s="4">
        <v>12</v>
      </c>
      <c r="C37" s="4" t="s">
        <v>26</v>
      </c>
      <c r="D37" s="5">
        <v>6.1000000000000004E-3</v>
      </c>
      <c r="E37" s="5">
        <v>1.66</v>
      </c>
      <c r="F37" s="22">
        <v>9</v>
      </c>
      <c r="G37" s="4">
        <v>12</v>
      </c>
      <c r="H37" s="4" t="s">
        <v>26</v>
      </c>
      <c r="I37" s="5">
        <v>5.3E-3</v>
      </c>
      <c r="J37" s="6">
        <v>1.26</v>
      </c>
      <c r="L37" s="5">
        <v>1.77E-2</v>
      </c>
      <c r="M37" s="6">
        <v>4.28</v>
      </c>
    </row>
    <row r="38" spans="1:18">
      <c r="A38" s="4">
        <v>9</v>
      </c>
      <c r="B38" s="4">
        <v>12</v>
      </c>
      <c r="C38" s="4" t="s">
        <v>27</v>
      </c>
      <c r="D38" s="5">
        <v>1.6400000000000001E-2</v>
      </c>
      <c r="E38" s="5">
        <v>3.97</v>
      </c>
      <c r="F38" s="22">
        <v>9</v>
      </c>
      <c r="G38" s="4">
        <v>12</v>
      </c>
      <c r="H38" s="4" t="s">
        <v>27</v>
      </c>
      <c r="I38" s="5">
        <v>1.4999999999999999E-2</v>
      </c>
      <c r="J38" s="6">
        <v>4.2</v>
      </c>
      <c r="L38" s="5">
        <v>9.5999999999999992E-3</v>
      </c>
      <c r="M38" s="6">
        <v>3.09</v>
      </c>
    </row>
    <row r="39" spans="1:18">
      <c r="A39" s="7">
        <v>9</v>
      </c>
      <c r="B39" s="7">
        <v>12</v>
      </c>
      <c r="C39" s="7" t="s">
        <v>28</v>
      </c>
      <c r="D39" s="5">
        <v>9.1999999999999998E-3</v>
      </c>
      <c r="E39" s="5">
        <v>2.89</v>
      </c>
      <c r="F39" s="23">
        <v>9</v>
      </c>
      <c r="G39" s="7">
        <v>12</v>
      </c>
      <c r="H39" s="7" t="s">
        <v>28</v>
      </c>
      <c r="I39" s="5">
        <v>9.7000000000000003E-3</v>
      </c>
      <c r="J39" s="6">
        <v>3.39</v>
      </c>
      <c r="L39" s="5">
        <v>6.0000000000000001E-3</v>
      </c>
      <c r="M39" s="6">
        <v>1.36</v>
      </c>
    </row>
    <row r="40" spans="1:18">
      <c r="A40" s="4">
        <v>12</v>
      </c>
      <c r="B40" s="4">
        <v>3</v>
      </c>
      <c r="C40" s="4" t="s">
        <v>26</v>
      </c>
      <c r="D40" s="5">
        <v>6.0000000000000001E-3</v>
      </c>
      <c r="E40" s="5">
        <v>1.17</v>
      </c>
      <c r="F40" s="22">
        <v>12</v>
      </c>
      <c r="G40" s="4">
        <v>3</v>
      </c>
      <c r="H40" s="4" t="s">
        <v>26</v>
      </c>
      <c r="I40" s="5">
        <v>4.7999999999999996E-3</v>
      </c>
      <c r="J40" s="6">
        <v>0.96</v>
      </c>
      <c r="L40" s="5">
        <v>1.54E-2</v>
      </c>
      <c r="M40" s="6">
        <v>3.79</v>
      </c>
    </row>
    <row r="41" spans="1:18">
      <c r="A41" s="4">
        <v>12</v>
      </c>
      <c r="B41" s="4">
        <v>3</v>
      </c>
      <c r="C41" s="4" t="s">
        <v>27</v>
      </c>
      <c r="D41" s="5">
        <v>1.9199999999999998E-2</v>
      </c>
      <c r="E41" s="5">
        <v>4.63</v>
      </c>
      <c r="F41" s="22">
        <v>12</v>
      </c>
      <c r="G41" s="4">
        <v>3</v>
      </c>
      <c r="H41" s="4" t="s">
        <v>27</v>
      </c>
      <c r="I41" s="5">
        <v>1.9599999999999999E-2</v>
      </c>
      <c r="J41" s="6">
        <v>4.7300000000000004</v>
      </c>
      <c r="L41" s="5">
        <v>9.4000000000000004E-3</v>
      </c>
      <c r="M41" s="6">
        <v>2.31</v>
      </c>
    </row>
    <row r="42" spans="1:18">
      <c r="A42" s="7">
        <v>12</v>
      </c>
      <c r="B42" s="7">
        <v>3</v>
      </c>
      <c r="C42" s="7" t="s">
        <v>28</v>
      </c>
      <c r="D42" s="5">
        <v>1.3100000000000001E-2</v>
      </c>
      <c r="E42" s="5">
        <v>3.74</v>
      </c>
      <c r="F42" s="23">
        <v>12</v>
      </c>
      <c r="G42" s="7">
        <v>3</v>
      </c>
      <c r="H42" s="7" t="s">
        <v>28</v>
      </c>
      <c r="I42" s="5">
        <v>1.49E-2</v>
      </c>
      <c r="J42" s="6">
        <v>4.28</v>
      </c>
    </row>
    <row r="43" spans="1:18">
      <c r="A43" s="4">
        <v>12</v>
      </c>
      <c r="B43" s="4">
        <v>6</v>
      </c>
      <c r="C43" s="4" t="s">
        <v>26</v>
      </c>
      <c r="D43" s="5">
        <v>6.4999999999999997E-3</v>
      </c>
      <c r="E43" s="5">
        <v>1.29</v>
      </c>
      <c r="F43" s="22">
        <v>12</v>
      </c>
      <c r="G43" s="4">
        <v>6</v>
      </c>
      <c r="H43" s="4" t="s">
        <v>26</v>
      </c>
      <c r="I43" s="5">
        <v>5.1999999999999998E-3</v>
      </c>
      <c r="J43" s="6">
        <v>1.07</v>
      </c>
    </row>
    <row r="44" spans="1:18">
      <c r="A44" s="4">
        <v>12</v>
      </c>
      <c r="B44" s="4">
        <v>6</v>
      </c>
      <c r="C44" s="4" t="s">
        <v>27</v>
      </c>
      <c r="D44" s="5">
        <v>1.7899999999999999E-2</v>
      </c>
      <c r="E44" s="5">
        <v>4.3600000000000003</v>
      </c>
      <c r="F44" s="22">
        <v>12</v>
      </c>
      <c r="G44" s="4">
        <v>6</v>
      </c>
      <c r="H44" s="4" t="s">
        <v>27</v>
      </c>
      <c r="I44" s="5">
        <v>1.7899999999999999E-2</v>
      </c>
      <c r="J44" s="6">
        <v>4.3600000000000003</v>
      </c>
    </row>
    <row r="45" spans="1:18">
      <c r="A45" s="7">
        <v>12</v>
      </c>
      <c r="B45" s="7">
        <v>6</v>
      </c>
      <c r="C45" s="7" t="s">
        <v>28</v>
      </c>
      <c r="D45" s="5">
        <v>1.14E-2</v>
      </c>
      <c r="E45" s="5">
        <v>3.4</v>
      </c>
      <c r="F45" s="23">
        <v>12</v>
      </c>
      <c r="G45" s="7">
        <v>6</v>
      </c>
      <c r="H45" s="7" t="s">
        <v>28</v>
      </c>
      <c r="I45" s="5">
        <v>1.21E-2</v>
      </c>
      <c r="J45" s="6">
        <v>3.65</v>
      </c>
    </row>
    <row r="46" spans="1:18">
      <c r="A46" s="4">
        <v>12</v>
      </c>
      <c r="B46" s="4">
        <v>9</v>
      </c>
      <c r="C46" s="4" t="s">
        <v>26</v>
      </c>
      <c r="D46" s="5">
        <v>7.4999999999999997E-3</v>
      </c>
      <c r="E46" s="5">
        <v>1.48</v>
      </c>
      <c r="F46" s="22">
        <v>12</v>
      </c>
      <c r="G46" s="4">
        <v>9</v>
      </c>
      <c r="H46" s="4" t="s">
        <v>26</v>
      </c>
      <c r="I46" s="5">
        <v>5.4000000000000003E-3</v>
      </c>
      <c r="J46" s="6">
        <v>1.1299999999999999</v>
      </c>
    </row>
    <row r="47" spans="1:18">
      <c r="A47" s="4">
        <v>12</v>
      </c>
      <c r="B47" s="4">
        <v>9</v>
      </c>
      <c r="C47" s="4" t="s">
        <v>27</v>
      </c>
      <c r="D47" s="5">
        <v>1.6799999999999999E-2</v>
      </c>
      <c r="E47" s="5">
        <v>4.0999999999999996</v>
      </c>
      <c r="F47" s="22">
        <v>12</v>
      </c>
      <c r="G47" s="4">
        <v>9</v>
      </c>
      <c r="H47" s="4" t="s">
        <v>27</v>
      </c>
      <c r="I47" s="5">
        <v>1.77E-2</v>
      </c>
      <c r="J47" s="6">
        <v>4.28</v>
      </c>
    </row>
    <row r="48" spans="1:18">
      <c r="A48" s="7">
        <v>12</v>
      </c>
      <c r="B48" s="7">
        <v>9</v>
      </c>
      <c r="C48" s="7" t="s">
        <v>28</v>
      </c>
      <c r="D48" s="5">
        <v>9.2999999999999992E-3</v>
      </c>
      <c r="E48" s="5">
        <v>2.95</v>
      </c>
      <c r="F48" s="23">
        <v>12</v>
      </c>
      <c r="G48" s="7">
        <v>9</v>
      </c>
      <c r="H48" s="7" t="s">
        <v>28</v>
      </c>
      <c r="I48" s="5">
        <v>9.5999999999999992E-3</v>
      </c>
      <c r="J48" s="6">
        <v>3.09</v>
      </c>
    </row>
    <row r="49" spans="1:10">
      <c r="A49" s="4">
        <v>12</v>
      </c>
      <c r="B49" s="4">
        <v>12</v>
      </c>
      <c r="C49" s="4" t="s">
        <v>26</v>
      </c>
      <c r="D49" s="5">
        <v>8.6999999999999994E-3</v>
      </c>
      <c r="E49" s="5">
        <v>1.74</v>
      </c>
      <c r="F49" s="22">
        <v>12</v>
      </c>
      <c r="G49" s="4">
        <v>12</v>
      </c>
      <c r="H49" s="4" t="s">
        <v>26</v>
      </c>
      <c r="I49" s="5">
        <v>6.0000000000000001E-3</v>
      </c>
      <c r="J49" s="6">
        <v>1.36</v>
      </c>
    </row>
    <row r="50" spans="1:10">
      <c r="A50" s="4">
        <v>12</v>
      </c>
      <c r="B50" s="4">
        <v>12</v>
      </c>
      <c r="C50" s="4" t="s">
        <v>27</v>
      </c>
      <c r="D50" s="5">
        <v>1.55E-2</v>
      </c>
      <c r="E50" s="5">
        <v>3.81</v>
      </c>
      <c r="F50" s="22">
        <v>12</v>
      </c>
      <c r="G50" s="4">
        <v>12</v>
      </c>
      <c r="H50" s="4" t="s">
        <v>27</v>
      </c>
      <c r="I50" s="5">
        <v>1.54E-2</v>
      </c>
      <c r="J50" s="6">
        <v>3.79</v>
      </c>
    </row>
    <row r="51" spans="1:10">
      <c r="A51" s="8">
        <v>12</v>
      </c>
      <c r="B51" s="8">
        <v>12</v>
      </c>
      <c r="C51" s="8" t="s">
        <v>28</v>
      </c>
      <c r="D51" s="9">
        <v>6.7999999999999996E-3</v>
      </c>
      <c r="E51" s="9">
        <v>2.25</v>
      </c>
      <c r="F51" s="24">
        <v>12</v>
      </c>
      <c r="G51" s="8">
        <v>12</v>
      </c>
      <c r="H51" s="8" t="s">
        <v>28</v>
      </c>
      <c r="I51" s="9">
        <v>9.4000000000000004E-3</v>
      </c>
      <c r="J51" s="10">
        <v>2.31</v>
      </c>
    </row>
  </sheetData>
  <mergeCells count="22">
    <mergeCell ref="L17:L22"/>
    <mergeCell ref="M17:M18"/>
    <mergeCell ref="M19:M20"/>
    <mergeCell ref="M21:M22"/>
    <mergeCell ref="L23:L28"/>
    <mergeCell ref="M23:M24"/>
    <mergeCell ref="M25:M26"/>
    <mergeCell ref="M27:M28"/>
    <mergeCell ref="N3:Q3"/>
    <mergeCell ref="R3:U3"/>
    <mergeCell ref="L5:L10"/>
    <mergeCell ref="M5:M6"/>
    <mergeCell ref="M7:M8"/>
    <mergeCell ref="M9:M10"/>
    <mergeCell ref="L11:L16"/>
    <mergeCell ref="M11:M12"/>
    <mergeCell ref="M13:M14"/>
    <mergeCell ref="M15:M16"/>
    <mergeCell ref="A1:J1"/>
    <mergeCell ref="A2:E2"/>
    <mergeCell ref="F2:J2"/>
    <mergeCell ref="L2:U2"/>
  </mergeCells>
  <phoneticPr fontId="18" type="noConversion"/>
  <conditionalFormatting sqref="D3">
    <cfRule type="cellIs" dxfId="8" priority="8" operator="lessThan">
      <formula>0</formula>
    </cfRule>
    <cfRule type="cellIs" dxfId="7" priority="9" operator="greaterThan">
      <formula>0</formula>
    </cfRule>
  </conditionalFormatting>
  <conditionalFormatting sqref="I3">
    <cfRule type="cellIs" dxfId="6" priority="6" operator="lessThan">
      <formula>0</formula>
    </cfRule>
    <cfRule type="cellIs" dxfId="5" priority="7" operator="greaterThan">
      <formula>0</formula>
    </cfRule>
  </conditionalFormatting>
  <conditionalFormatting sqref="N12:U12 N18:U18 N24:U24 N14:U14 N20:U20 N26:U26 N16:U16 N22:U22 N28:U28">
    <cfRule type="cellIs" dxfId="4" priority="1" operator="between">
      <formula>-1.96</formula>
      <formula>1.96</formula>
    </cfRule>
    <cfRule type="cellIs" dxfId="3" priority="2" operator="notBetween">
      <formula>1.96</formula>
      <formula>-1.96</formula>
    </cfRule>
  </conditionalFormatting>
  <conditionalFormatting sqref="N5:U5 N7:U7 N9:U9 N11:U11 N13:U13 N15:U15 N17:U17 N19:U19 N21:U21 N23:U23 N25:U25 N27:U27">
    <cfRule type="expression" dxfId="2" priority="4">
      <formula>OR(N6&gt;1.96,N6&lt;-1.96)</formula>
    </cfRule>
  </conditionalFormatting>
  <conditionalFormatting sqref="N6:U6 N8:U8 N10:U10">
    <cfRule type="cellIs" dxfId="1" priority="3" operator="between">
      <formula>-1.96</formula>
      <formula>1.96</formula>
    </cfRule>
    <cfRule type="cellIs" dxfId="0" priority="5" operator="notBetween">
      <formula>1.96</formula>
      <formula>-1.96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csv</vt:lpstr>
      <vt:lpstr>panel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詹惟涵</dc:creator>
  <cp:lastModifiedBy>詹惟涵</cp:lastModifiedBy>
  <dcterms:created xsi:type="dcterms:W3CDTF">2025-08-08T03:19:11Z</dcterms:created>
  <dcterms:modified xsi:type="dcterms:W3CDTF">2025-08-08T05:20:38Z</dcterms:modified>
</cp:coreProperties>
</file>